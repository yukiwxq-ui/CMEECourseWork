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https://imperiallondon-my.sharepoint.com/personal/ils25_ic_ac_uk/Documents/AA - Living Planet Masers/Statistics in R - LIFE70073/"/>
    </mc:Choice>
  </mc:AlternateContent>
  <xr:revisionPtr revIDLastSave="67" documentId="8_{BF96CE44-AACB-441F-9748-22067002293B}" xr6:coauthVersionLast="47" xr6:coauthVersionMax="47" xr10:uidLastSave="{D3D06A14-65A0-D542-A439-92F3A558BE9A}"/>
  <bookViews>
    <workbookView xWindow="-120" yWindow="620" windowWidth="29040" windowHeight="16440" activeTab="2" xr2:uid="{AB35ECC3-A19F-4EB9-9707-1784F9BBACF5}"/>
  </bookViews>
  <sheets>
    <sheet name="READ ME" sheetId="3" r:id="rId1"/>
    <sheet name="Focal Data" sheetId="1" r:id="rId2"/>
    <sheet name="Focal data conditions" sheetId="2" r:id="rId3"/>
  </sheets>
  <definedNames>
    <definedName name="_Ref180960510" localSheetId="0">'READ ME'!$D$14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97" i="1" l="1"/>
  <c r="J97" i="1"/>
  <c r="AB96" i="1"/>
  <c r="J96" i="1"/>
  <c r="AB95" i="1"/>
  <c r="J95" i="1"/>
  <c r="AB94" i="1"/>
  <c r="J94" i="1"/>
  <c r="AB93" i="1"/>
  <c r="J93" i="1"/>
  <c r="AB92" i="1"/>
  <c r="J92" i="1"/>
  <c r="AB91" i="1"/>
  <c r="J91" i="1"/>
  <c r="AB90" i="1"/>
  <c r="J90" i="1"/>
  <c r="AB89" i="1"/>
  <c r="J89" i="1"/>
  <c r="AB88" i="1"/>
  <c r="J88" i="1"/>
  <c r="AB87" i="1"/>
  <c r="J87" i="1"/>
  <c r="AB86" i="1"/>
  <c r="J86" i="1"/>
  <c r="AB85" i="1"/>
  <c r="J85" i="1"/>
  <c r="AB84" i="1"/>
  <c r="J84" i="1"/>
  <c r="AB83" i="1"/>
  <c r="J83" i="1"/>
  <c r="AB82" i="1"/>
  <c r="J82" i="1"/>
  <c r="AB81" i="1"/>
  <c r="J81" i="1"/>
  <c r="AB80" i="1"/>
  <c r="J80" i="1"/>
  <c r="AB79" i="1"/>
  <c r="J79" i="1"/>
  <c r="AB78" i="1"/>
  <c r="J78" i="1"/>
  <c r="AB77" i="1"/>
  <c r="J77" i="1"/>
  <c r="AB76" i="1"/>
  <c r="J76" i="1"/>
  <c r="AB75" i="1"/>
  <c r="J75" i="1"/>
  <c r="AB74" i="1"/>
  <c r="J74" i="1"/>
  <c r="AB73" i="1"/>
  <c r="J73" i="1"/>
  <c r="AB72" i="1"/>
  <c r="J72" i="1"/>
  <c r="AB71" i="1"/>
  <c r="J71" i="1"/>
  <c r="AB70" i="1"/>
  <c r="J70" i="1"/>
  <c r="AB69" i="1"/>
  <c r="J69" i="1"/>
  <c r="AB68" i="1"/>
  <c r="J68" i="1"/>
  <c r="AB67" i="1"/>
  <c r="J67" i="1"/>
  <c r="AB66" i="1"/>
  <c r="J66" i="1"/>
  <c r="AB65" i="1"/>
  <c r="J65" i="1"/>
  <c r="AB64" i="1"/>
  <c r="J64" i="1"/>
  <c r="AB63" i="1"/>
  <c r="J63" i="1"/>
  <c r="AB62" i="1"/>
  <c r="J62" i="1"/>
  <c r="AB61" i="1"/>
  <c r="J61" i="1"/>
  <c r="AB60" i="1"/>
  <c r="J60" i="1"/>
  <c r="AB59" i="1"/>
  <c r="J59" i="1"/>
  <c r="AB58" i="1"/>
  <c r="J58" i="1"/>
  <c r="AB57" i="1"/>
  <c r="J57" i="1"/>
  <c r="AB56" i="1"/>
  <c r="J56" i="1"/>
  <c r="AB55" i="1"/>
  <c r="J55" i="1"/>
  <c r="AB54" i="1"/>
  <c r="J54" i="1"/>
  <c r="AB53" i="1"/>
  <c r="J53" i="1"/>
  <c r="AB52" i="1"/>
  <c r="J52" i="1"/>
  <c r="AB51" i="1"/>
  <c r="J51" i="1"/>
  <c r="AB50" i="1"/>
  <c r="J50" i="1"/>
  <c r="AB49" i="1"/>
  <c r="J49" i="1"/>
  <c r="AB48" i="1"/>
  <c r="J48" i="1"/>
  <c r="AB47" i="1"/>
  <c r="J47" i="1"/>
  <c r="AB46" i="1"/>
  <c r="J46" i="1"/>
  <c r="AB45" i="1"/>
  <c r="J45" i="1"/>
  <c r="AB44" i="1"/>
  <c r="J44" i="1"/>
  <c r="AB43" i="1"/>
  <c r="J43" i="1"/>
  <c r="AB42" i="1"/>
  <c r="J42" i="1"/>
  <c r="AB41" i="1"/>
  <c r="J41" i="1"/>
  <c r="AB40" i="1"/>
  <c r="J40" i="1"/>
  <c r="AB39" i="1"/>
  <c r="J39" i="1"/>
  <c r="AB38" i="1"/>
  <c r="J38" i="1"/>
  <c r="AB37" i="1"/>
  <c r="J37" i="1"/>
  <c r="AB36" i="1"/>
  <c r="J36" i="1"/>
  <c r="AB35" i="1"/>
  <c r="J35" i="1"/>
  <c r="AB34" i="1"/>
  <c r="J34" i="1"/>
  <c r="AB33" i="1"/>
  <c r="J33" i="1"/>
  <c r="AB32" i="1"/>
  <c r="J32" i="1"/>
  <c r="AB31" i="1"/>
  <c r="J31" i="1"/>
  <c r="AB30" i="1"/>
  <c r="J30" i="1"/>
  <c r="AB29" i="1"/>
  <c r="J29" i="1"/>
  <c r="AB28" i="1"/>
  <c r="J28" i="1"/>
  <c r="AB27" i="1"/>
  <c r="J27" i="1"/>
  <c r="AB26" i="1"/>
  <c r="J26" i="1"/>
  <c r="AB25" i="1"/>
  <c r="J25" i="1"/>
  <c r="AB24" i="1"/>
  <c r="J24" i="1"/>
  <c r="AB23" i="1"/>
  <c r="J23" i="1"/>
  <c r="AB22" i="1"/>
  <c r="J22" i="1"/>
  <c r="AB21" i="1"/>
  <c r="J21" i="1"/>
  <c r="AB20" i="1"/>
  <c r="J20" i="1"/>
  <c r="AB19" i="1"/>
  <c r="J19" i="1"/>
  <c r="AB18" i="1"/>
  <c r="J18" i="1"/>
  <c r="AB17" i="1"/>
  <c r="J17" i="1"/>
  <c r="AB16" i="1"/>
  <c r="J16" i="1"/>
  <c r="AB15" i="1"/>
  <c r="J15" i="1"/>
  <c r="AB14" i="1"/>
  <c r="J14" i="1"/>
  <c r="AB13" i="1"/>
  <c r="J13" i="1"/>
  <c r="AB12" i="1"/>
  <c r="J12" i="1"/>
  <c r="AB11" i="1"/>
  <c r="J11" i="1"/>
  <c r="AB10" i="1"/>
  <c r="J10" i="1"/>
  <c r="AB9" i="1"/>
  <c r="J9" i="1"/>
  <c r="AB8" i="1"/>
  <c r="J8" i="1"/>
  <c r="AB7" i="1"/>
  <c r="J7" i="1"/>
  <c r="AB6" i="1"/>
  <c r="J6" i="1"/>
  <c r="AB5" i="1"/>
  <c r="J5" i="1"/>
  <c r="AB4" i="1"/>
  <c r="J4" i="1"/>
  <c r="AB3" i="1"/>
  <c r="J3" i="1"/>
  <c r="AB2" i="1"/>
  <c r="J2" i="1"/>
</calcChain>
</file>

<file path=xl/sharedStrings.xml><?xml version="1.0" encoding="utf-8"?>
<sst xmlns="http://schemas.openxmlformats.org/spreadsheetml/2006/main" count="717" uniqueCount="100">
  <si>
    <t>Sample</t>
  </si>
  <si>
    <t>Day</t>
  </si>
  <si>
    <t>Time</t>
  </si>
  <si>
    <t>Colony</t>
  </si>
  <si>
    <t>Conditions</t>
  </si>
  <si>
    <t>Caste</t>
  </si>
  <si>
    <t>Leaf?</t>
  </si>
  <si>
    <t>Direction</t>
  </si>
  <si>
    <t>Walking forwards</t>
  </si>
  <si>
    <t>Walking backwards</t>
  </si>
  <si>
    <t xml:space="preserve">Carrying forwards </t>
  </si>
  <si>
    <t>Carrying backwards</t>
  </si>
  <si>
    <t>Stationary</t>
  </si>
  <si>
    <t>Stuck</t>
  </si>
  <si>
    <t>Searching</t>
  </si>
  <si>
    <t>Parol</t>
  </si>
  <si>
    <t>OOS</t>
  </si>
  <si>
    <t>Passengering</t>
  </si>
  <si>
    <t>Picking up</t>
  </si>
  <si>
    <t>Clearing</t>
  </si>
  <si>
    <t>Allogrooming</t>
  </si>
  <si>
    <t>Rearranging</t>
  </si>
  <si>
    <t>A</t>
  </si>
  <si>
    <t>Antennation</t>
  </si>
  <si>
    <t>Self-groom</t>
  </si>
  <si>
    <t>Dropped leaf</t>
  </si>
  <si>
    <t>B</t>
  </si>
  <si>
    <t>C</t>
  </si>
  <si>
    <t>D</t>
  </si>
  <si>
    <t>Sunny, no rain, low wind, shaded</t>
  </si>
  <si>
    <t>Worker</t>
  </si>
  <si>
    <t>Yes</t>
  </si>
  <si>
    <t>Towards Nest</t>
  </si>
  <si>
    <t>Soldier</t>
  </si>
  <si>
    <t>No</t>
  </si>
  <si>
    <t>Location</t>
  </si>
  <si>
    <t xml:space="preserve"> 0 - 6m</t>
  </si>
  <si>
    <t>6 - 12m</t>
  </si>
  <si>
    <t>12 - 18m</t>
  </si>
  <si>
    <t>Away from nest</t>
  </si>
  <si>
    <t>Total</t>
  </si>
  <si>
    <t>BIG BOY</t>
  </si>
  <si>
    <t>Cutting</t>
  </si>
  <si>
    <t>Sample Time (37-OOS count)</t>
  </si>
  <si>
    <t>Sunny, no rain, no wind, shaded</t>
  </si>
  <si>
    <t>lost his leaf :(</t>
  </si>
  <si>
    <t>Tug of war</t>
  </si>
  <si>
    <t>Fight</t>
  </si>
  <si>
    <t>Notes</t>
  </si>
  <si>
    <t>This is a just a numercial indentifier for each focal scan observation</t>
  </si>
  <si>
    <t>This data was collected over 2 days - this identifies which day</t>
  </si>
  <si>
    <t>There were four colonies sampled - A, B, C, D</t>
  </si>
  <si>
    <t>A small summary of the weather conditions on that sample day</t>
  </si>
  <si>
    <t>This was the path location along the transect. Distance was measured and classified as follows - Near nest (0-6m), Middle ( 6-12m) and far from nest (12-18m)</t>
  </si>
  <si>
    <t>This is the time the focal scan was started</t>
  </si>
  <si>
    <t>This is the caste of each ant - either soldier of worker</t>
  </si>
  <si>
    <t>This is a simple Yes or No question whether the ant was carrying a leaf</t>
  </si>
  <si>
    <t>This is the direction the ant was facing when the focal scan started, either towards the nest or away from the nest</t>
  </si>
  <si>
    <t>This is a count of all the 5 second observations minus the time the ant was Out Of Sight</t>
  </si>
  <si>
    <t>Behaviour</t>
  </si>
  <si>
    <t>Code</t>
  </si>
  <si>
    <t>Description</t>
  </si>
  <si>
    <t>Category</t>
  </si>
  <si>
    <t>Walking</t>
  </si>
  <si>
    <t>W</t>
  </si>
  <si>
    <t xml:space="preserve">Ant walking without a leaf, include direction </t>
  </si>
  <si>
    <t>State</t>
  </si>
  <si>
    <t>Carrying</t>
  </si>
  <si>
    <t>Ant walking and carrying a leaf, include direction</t>
  </si>
  <si>
    <t>S</t>
  </si>
  <si>
    <t>Ant has voluntarily stopped, not due to obstruction</t>
  </si>
  <si>
    <t>St</t>
  </si>
  <si>
    <t>Ant has stopped movement due to obstruction</t>
  </si>
  <si>
    <t>Se</t>
  </si>
  <si>
    <t>Ant walking perpendicularly to the main path</t>
  </si>
  <si>
    <t>Patrolling</t>
  </si>
  <si>
    <t>Pa</t>
  </si>
  <si>
    <t>Ant walking directionally along the edge of main path</t>
  </si>
  <si>
    <t>Cl</t>
  </si>
  <si>
    <t>Ant is moving debris off the main path</t>
  </si>
  <si>
    <t>Pl</t>
  </si>
  <si>
    <t xml:space="preserve">Ant attempts to pick up a leaf or debris </t>
  </si>
  <si>
    <t xml:space="preserve">Rearranging </t>
  </si>
  <si>
    <t>R</t>
  </si>
  <si>
    <t>Ant carrying an object  purposefully adjusts its grip</t>
  </si>
  <si>
    <t>Out of site</t>
  </si>
  <si>
    <t>Ant is no longer in field of view</t>
  </si>
  <si>
    <t>Ant interacts and identifies another ant</t>
  </si>
  <si>
    <t>Events</t>
  </si>
  <si>
    <t>Self groom</t>
  </si>
  <si>
    <t>SG</t>
  </si>
  <si>
    <t>Ant cleans antennae and mandibles using legs</t>
  </si>
  <si>
    <t>DL</t>
  </si>
  <si>
    <t>Ant drops leaf, or object it was carrying</t>
  </si>
  <si>
    <t>This is a total count of all observations seen in that row for this ant, it should be 37 as it accounts for all the times ant was OOS</t>
  </si>
  <si>
    <t>This is when an ant interacts with another ant using their antennae</t>
  </si>
  <si>
    <t>This is when an ant was osberved cleaning and self grooming their antennae</t>
  </si>
  <si>
    <t>This was a tally count for how often the ant dropped its leaf</t>
  </si>
  <si>
    <t>Any other observable notes or features were recorded here</t>
  </si>
  <si>
    <t>This is a tally count of how many times this state was observed for each of these behaviour as categorised by the ethogram, they were identified using the following codes. Some behaviours were seen in low frequency - eg fight, tug of war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</si>
</sst>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3" x14ac:knownFonts="1">
    <font>
      <sz val="11"/>
      <color theme="1"/>
      <name val="Aptos Narrow"/>
      <family val="2"/>
      <scheme val="minor"/>
    </font>
    <font>
      <sz val="8"/>
      <name val="Aptos Narrow"/>
      <family val="2"/>
      <scheme val="minor"/>
    </font>
    <font>
      <b/>
      <sz val="11"/>
      <color theme="1"/>
      <name val="Aptos Narrow"/>
      <family val="2"/>
      <scheme val="minor"/>
    </font>
  </fonts>
  <fills count="2">
    <fill>
      <patternFill patternType="none"/>
    </fill>
    <fill>
      <patternFill patternType="gray125"/>
    </fill>
  </fills>
  <borders count="9">
    <border>
      <left/>
      <right/>
      <top/>
      <bottom/>
      <diagonal/>
    </border>
    <border>
      <left/>
      <right style="thin">
        <color indexed="64"/>
      </right>
      <top/>
      <bottom/>
      <diagonal/>
    </border>
    <border>
      <left style="thin">
        <color indexed="64"/>
      </left>
      <right style="thin">
        <color indexed="64"/>
      </right>
      <top/>
      <bottom/>
      <diagonal/>
    </border>
    <border>
      <left style="thin">
        <color theme="9"/>
      </left>
      <right style="thin">
        <color theme="9"/>
      </right>
      <top style="thin">
        <color theme="9"/>
      </top>
      <bottom style="medium">
        <color theme="9"/>
      </bottom>
      <diagonal/>
    </border>
    <border>
      <left style="thin">
        <color theme="9"/>
      </left>
      <right style="thin">
        <color indexed="64"/>
      </right>
      <top style="thin">
        <color theme="9"/>
      </top>
      <bottom style="medium">
        <color theme="9"/>
      </bottom>
      <diagonal/>
    </border>
    <border>
      <left style="thin">
        <color theme="9"/>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2">
    <xf numFmtId="0" fontId="0" fillId="0" borderId="0" xfId="0"/>
    <xf numFmtId="0" fontId="0" fillId="0" borderId="1" xfId="0" applyBorder="1"/>
    <xf numFmtId="164" fontId="0" fillId="0" borderId="0" xfId="0" applyNumberFormat="1"/>
    <xf numFmtId="0" fontId="0" fillId="0" borderId="2" xfId="0" applyBorder="1"/>
    <xf numFmtId="0" fontId="2" fillId="0" borderId="3" xfId="0" applyFont="1" applyBorder="1"/>
    <xf numFmtId="164" fontId="2" fillId="0" borderId="3" xfId="0" applyNumberFormat="1" applyFont="1" applyBorder="1"/>
    <xf numFmtId="0" fontId="2" fillId="0" borderId="4" xfId="0" applyFont="1" applyBorder="1"/>
    <xf numFmtId="0" fontId="0" fillId="0" borderId="5" xfId="0" applyBorder="1" applyAlignment="1">
      <alignment horizontal="center" vertical="top" wrapText="1"/>
    </xf>
    <xf numFmtId="0" fontId="0" fillId="0" borderId="6" xfId="0" applyBorder="1"/>
    <xf numFmtId="0" fontId="0" fillId="0" borderId="7" xfId="0" applyBorder="1" applyAlignment="1">
      <alignment horizontal="center" vertical="top"/>
    </xf>
    <xf numFmtId="0" fontId="0" fillId="0" borderId="2" xfId="0" applyBorder="1" applyAlignment="1">
      <alignment horizontal="center" vertical="top"/>
    </xf>
    <xf numFmtId="0" fontId="0" fillId="0" borderId="8" xfId="0" applyBorder="1" applyAlignment="1">
      <alignment horizontal="center" vertical="top"/>
    </xf>
  </cellXfs>
  <cellStyles count="1">
    <cellStyle name="Normal" xfId="0" builtinId="0"/>
  </cellStyles>
  <dxfs count="8">
    <dxf>
      <numFmt numFmtId="0" formatCode="General"/>
      <border diagonalUp="0" diagonalDown="0">
        <left/>
        <right style="thin">
          <color indexed="64"/>
        </right>
        <top/>
        <bottom/>
        <vertical/>
        <horizontal/>
      </border>
    </dxf>
    <dxf>
      <numFmt numFmtId="0" formatCode="General"/>
    </dxf>
    <dxf>
      <numFmt numFmtId="0" formatCode="General"/>
    </dxf>
    <dxf>
      <numFmt numFmtId="0" formatCode="General"/>
    </dxf>
    <dxf>
      <numFmt numFmtId="0" formatCode="General"/>
      <border diagonalUp="0" diagonalDown="0">
        <left style="thin">
          <color indexed="64"/>
        </left>
        <right style="thin">
          <color indexed="64"/>
        </right>
        <top/>
        <bottom/>
        <vertical/>
        <horizontal/>
      </border>
    </dxf>
    <dxf>
      <border diagonalUp="0" diagonalDown="0">
        <left/>
        <right style="thin">
          <color indexed="64"/>
        </right>
        <top/>
        <bottom/>
        <vertical/>
        <horizontal/>
      </border>
    </dxf>
    <dxf>
      <numFmt numFmtId="164" formatCode="[$-F400]h:mm:ss\ AM/PM"/>
    </dxf>
    <dxf>
      <numFmt numFmtId="0" formatCode="General"/>
    </dxf>
  </dxfs>
  <tableStyles count="0" defaultTableStyle="TableStyleMedium2" defaultPivotStyle="PivotStyleLight16"/>
  <colors>
    <mruColors>
      <color rgb="FFFFFFFF"/>
      <color rgb="FFFEDA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C195A2-D863-4EB4-9732-9ED935188904}" name="Table1" displayName="Table1" ref="A1:AF97" totalsRowShown="0">
  <autoFilter ref="A1:AF97" xr:uid="{54C195A2-D863-4EB4-9732-9ED935188904}"/>
  <tableColumns count="32">
    <tableColumn id="1" xr3:uid="{8CCCD2F6-1A6C-4B48-AFFB-8A947AFA3492}" name="Sample"/>
    <tableColumn id="2" xr3:uid="{77E491E2-85B8-4B40-BF21-F04F47A67AB4}" name="Day"/>
    <tableColumn id="3" xr3:uid="{97F06B68-277F-46B9-9800-D87D9AA7A316}" name="Colony"/>
    <tableColumn id="4" xr3:uid="{A53559D9-3B1F-4CB4-BBEE-1DF0C62F3682}" name="Conditions"/>
    <tableColumn id="5" xr3:uid="{A77F510A-620A-4F71-9DFD-B4F84835846E}" name="Location" dataDxfId="7"/>
    <tableColumn id="6" xr3:uid="{08660B06-54BE-4BA3-9DD2-E4415129FA86}" name="Time" dataDxfId="6"/>
    <tableColumn id="7" xr3:uid="{E50D8058-BBE2-4EBA-9092-DE56F1F1146A}" name="Caste"/>
    <tableColumn id="8" xr3:uid="{7C505DD8-02AA-4857-8044-F3703421EF2E}" name="Leaf?"/>
    <tableColumn id="9" xr3:uid="{BBF0B762-F99C-4B04-B120-35F846962458}" name="Direction" dataDxfId="5"/>
    <tableColumn id="16388" xr3:uid="{0BC612D8-1CB2-4838-81F6-3710562D77DD}" name="Sample Time (37-OOS count)" dataDxfId="4">
      <calculatedColumnFormula>37-Table1[[#This Row],[OOS]]</calculatedColumnFormula>
    </tableColumn>
    <tableColumn id="10" xr3:uid="{B919D38E-E328-4643-8311-BA774FAFC854}" name="Carrying forwards "/>
    <tableColumn id="11" xr3:uid="{4834A4C3-67AA-4717-B1C1-E36BBCA5EDF1}" name="Carrying backwards"/>
    <tableColumn id="12" xr3:uid="{72D1F2F0-38B4-4577-B540-37728E044710}" name="Walking forwards"/>
    <tableColumn id="13" xr3:uid="{5D51C08F-1273-4432-90C2-0CA0F3610928}" name="Walking backwards"/>
    <tableColumn id="14" xr3:uid="{030A889C-5F92-45F3-9B3B-269E84A384D2}" name="Stationary"/>
    <tableColumn id="15" xr3:uid="{2D03101B-6461-419A-832A-D8597C7D82E2}" name="Stuck"/>
    <tableColumn id="16" xr3:uid="{91EFA2E4-BFAE-45D2-8C7B-9BA0320233C1}" name="Searching"/>
    <tableColumn id="17" xr3:uid="{90AD1262-80E0-4EAA-9930-3DD00DBB1809}" name="Parol"/>
    <tableColumn id="18" xr3:uid="{EC5C6049-63DB-4182-9FDD-8F734573A059}" name="OOS"/>
    <tableColumn id="19" xr3:uid="{DDE0AE6A-9838-437F-9189-7C1A606522F6}" name="Passengering"/>
    <tableColumn id="20" xr3:uid="{028F5D57-ACDB-4CCD-A41D-FF6BAE7CFB05}" name="Picking up"/>
    <tableColumn id="21" xr3:uid="{444A8B8A-FE92-49F4-AE09-8FE65F082409}" name="Clearing"/>
    <tableColumn id="22" xr3:uid="{99FD4956-B220-43C2-A54D-0034897F4F04}" name="Allogrooming"/>
    <tableColumn id="23" xr3:uid="{B59A94B6-3927-49A5-B158-1471785D6B5C}" name="Rearranging"/>
    <tableColumn id="16387" xr3:uid="{7B77EE64-2CDC-4EC1-A502-A9BDF5C3CCFC}" name="Cutting" dataDxfId="3"/>
    <tableColumn id="16389" xr3:uid="{18269BF0-F38B-4768-9F44-39942C4E14AE}" name="Tug of war" dataDxfId="2"/>
    <tableColumn id="16390" xr3:uid="{5CB0BF98-B56A-484B-B1C9-33154AFDAD95}" name="Fight" dataDxfId="1"/>
    <tableColumn id="24" xr3:uid="{52A8596B-CE94-48D9-9B34-900191AF9B44}" name="Total" dataDxfId="0">
      <calculatedColumnFormula>SUM(K2:AA2)</calculatedColumnFormula>
    </tableColumn>
    <tableColumn id="25" xr3:uid="{6CB56463-55E5-40C4-90A3-FBF95D269158}" name="Antennation"/>
    <tableColumn id="26" xr3:uid="{5ACBBA0F-0B03-4E25-BB25-3432DC0B7497}" name="Self-groom"/>
    <tableColumn id="27" xr3:uid="{DF72D5C0-A9D5-49A4-A9C1-41CF5F78E6AD}" name="Dropped leaf"/>
    <tableColumn id="16386" xr3:uid="{3F227317-F686-40E1-844F-53C414D64426}" name="Notes"/>
  </tableColumns>
  <tableStyleInfo name="TableStyleLight21"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3D14B-AF2F-D547-BFC2-3A714DB4DA09}">
  <dimension ref="A3:G34"/>
  <sheetViews>
    <sheetView zoomScale="88" workbookViewId="0">
      <selection activeCell="C20" sqref="C20"/>
    </sheetView>
  </sheetViews>
  <sheetFormatPr baseColWidth="10" defaultRowHeight="15" x14ac:dyDescent="0.2"/>
  <cols>
    <col min="1" max="1" width="30.33203125" customWidth="1"/>
    <col min="2" max="2" width="12.83203125" customWidth="1"/>
    <col min="6" max="6" width="43" customWidth="1"/>
  </cols>
  <sheetData>
    <row r="3" spans="1:7" ht="16" thickBot="1" x14ac:dyDescent="0.25">
      <c r="A3" s="4" t="s">
        <v>0</v>
      </c>
      <c r="B3" t="s">
        <v>49</v>
      </c>
    </row>
    <row r="4" spans="1:7" ht="16" thickBot="1" x14ac:dyDescent="0.25">
      <c r="A4" s="4" t="s">
        <v>1</v>
      </c>
      <c r="B4" t="s">
        <v>50</v>
      </c>
    </row>
    <row r="5" spans="1:7" ht="16" thickBot="1" x14ac:dyDescent="0.25">
      <c r="A5" s="4" t="s">
        <v>3</v>
      </c>
      <c r="B5" t="s">
        <v>51</v>
      </c>
    </row>
    <row r="6" spans="1:7" ht="16" thickBot="1" x14ac:dyDescent="0.25">
      <c r="A6" s="4" t="s">
        <v>4</v>
      </c>
      <c r="B6" t="s">
        <v>52</v>
      </c>
    </row>
    <row r="7" spans="1:7" ht="16" thickBot="1" x14ac:dyDescent="0.25">
      <c r="A7" s="4" t="s">
        <v>35</v>
      </c>
      <c r="B7" t="s">
        <v>53</v>
      </c>
    </row>
    <row r="8" spans="1:7" ht="16" thickBot="1" x14ac:dyDescent="0.25">
      <c r="A8" s="5" t="s">
        <v>2</v>
      </c>
      <c r="B8" t="s">
        <v>54</v>
      </c>
    </row>
    <row r="9" spans="1:7" ht="16" thickBot="1" x14ac:dyDescent="0.25">
      <c r="A9" s="4" t="s">
        <v>5</v>
      </c>
      <c r="B9" t="s">
        <v>55</v>
      </c>
    </row>
    <row r="10" spans="1:7" ht="16" thickBot="1" x14ac:dyDescent="0.25">
      <c r="A10" s="4" t="s">
        <v>6</v>
      </c>
      <c r="B10" t="s">
        <v>56</v>
      </c>
    </row>
    <row r="11" spans="1:7" ht="16" thickBot="1" x14ac:dyDescent="0.25">
      <c r="A11" s="6" t="s">
        <v>7</v>
      </c>
      <c r="B11" t="s">
        <v>57</v>
      </c>
    </row>
    <row r="12" spans="1:7" ht="16" thickBot="1" x14ac:dyDescent="0.25">
      <c r="A12" s="4" t="s">
        <v>43</v>
      </c>
      <c r="B12" t="s">
        <v>58</v>
      </c>
    </row>
    <row r="13" spans="1:7" ht="16" thickBot="1" x14ac:dyDescent="0.25">
      <c r="A13" s="4" t="s">
        <v>10</v>
      </c>
      <c r="B13" s="7" t="s">
        <v>99</v>
      </c>
    </row>
    <row r="14" spans="1:7" ht="16" thickBot="1" x14ac:dyDescent="0.25">
      <c r="A14" s="4" t="s">
        <v>11</v>
      </c>
      <c r="B14" s="7"/>
      <c r="D14" s="8" t="s">
        <v>59</v>
      </c>
      <c r="E14" s="8" t="s">
        <v>60</v>
      </c>
      <c r="F14" s="8" t="s">
        <v>61</v>
      </c>
      <c r="G14" s="8" t="s">
        <v>62</v>
      </c>
    </row>
    <row r="15" spans="1:7" ht="16" thickBot="1" x14ac:dyDescent="0.25">
      <c r="A15" s="4" t="s">
        <v>8</v>
      </c>
      <c r="B15" s="7"/>
      <c r="D15" s="8" t="s">
        <v>63</v>
      </c>
      <c r="E15" s="8" t="s">
        <v>64</v>
      </c>
      <c r="F15" s="8" t="s">
        <v>65</v>
      </c>
      <c r="G15" s="9" t="s">
        <v>66</v>
      </c>
    </row>
    <row r="16" spans="1:7" ht="16" thickBot="1" x14ac:dyDescent="0.25">
      <c r="A16" s="4" t="s">
        <v>9</v>
      </c>
      <c r="B16" s="7"/>
      <c r="D16" s="8" t="s">
        <v>67</v>
      </c>
      <c r="E16" s="8" t="s">
        <v>27</v>
      </c>
      <c r="F16" s="8" t="s">
        <v>68</v>
      </c>
      <c r="G16" s="10"/>
    </row>
    <row r="17" spans="1:7" ht="16" thickBot="1" x14ac:dyDescent="0.25">
      <c r="A17" s="4" t="s">
        <v>12</v>
      </c>
      <c r="B17" s="7"/>
      <c r="D17" s="8" t="s">
        <v>12</v>
      </c>
      <c r="E17" s="8" t="s">
        <v>69</v>
      </c>
      <c r="F17" s="8" t="s">
        <v>70</v>
      </c>
      <c r="G17" s="10"/>
    </row>
    <row r="18" spans="1:7" ht="16" thickBot="1" x14ac:dyDescent="0.25">
      <c r="A18" s="4" t="s">
        <v>13</v>
      </c>
      <c r="B18" s="7"/>
      <c r="D18" s="8" t="s">
        <v>13</v>
      </c>
      <c r="E18" s="8" t="s">
        <v>71</v>
      </c>
      <c r="F18" s="8" t="s">
        <v>72</v>
      </c>
      <c r="G18" s="10"/>
    </row>
    <row r="19" spans="1:7" ht="16" thickBot="1" x14ac:dyDescent="0.25">
      <c r="A19" s="4" t="s">
        <v>14</v>
      </c>
      <c r="B19" s="7"/>
      <c r="D19" s="8" t="s">
        <v>14</v>
      </c>
      <c r="E19" s="8" t="s">
        <v>73</v>
      </c>
      <c r="F19" s="8" t="s">
        <v>74</v>
      </c>
      <c r="G19" s="10"/>
    </row>
    <row r="20" spans="1:7" ht="16" thickBot="1" x14ac:dyDescent="0.25">
      <c r="A20" s="4" t="s">
        <v>15</v>
      </c>
      <c r="B20" s="7"/>
      <c r="D20" s="8" t="s">
        <v>75</v>
      </c>
      <c r="E20" s="8" t="s">
        <v>76</v>
      </c>
      <c r="F20" s="8" t="s">
        <v>77</v>
      </c>
      <c r="G20" s="10"/>
    </row>
    <row r="21" spans="1:7" ht="16" thickBot="1" x14ac:dyDescent="0.25">
      <c r="A21" s="4" t="s">
        <v>16</v>
      </c>
      <c r="B21" s="7"/>
      <c r="D21" s="8" t="s">
        <v>19</v>
      </c>
      <c r="E21" s="8" t="s">
        <v>78</v>
      </c>
      <c r="F21" s="8" t="s">
        <v>79</v>
      </c>
      <c r="G21" s="10"/>
    </row>
    <row r="22" spans="1:7" ht="16" thickBot="1" x14ac:dyDescent="0.25">
      <c r="A22" s="4" t="s">
        <v>17</v>
      </c>
      <c r="B22" s="7"/>
      <c r="D22" s="8" t="s">
        <v>18</v>
      </c>
      <c r="E22" s="8" t="s">
        <v>80</v>
      </c>
      <c r="F22" s="8" t="s">
        <v>81</v>
      </c>
      <c r="G22" s="10"/>
    </row>
    <row r="23" spans="1:7" ht="16" thickBot="1" x14ac:dyDescent="0.25">
      <c r="A23" s="4" t="s">
        <v>18</v>
      </c>
      <c r="B23" s="7"/>
      <c r="D23" s="8" t="s">
        <v>82</v>
      </c>
      <c r="E23" s="8" t="s">
        <v>83</v>
      </c>
      <c r="F23" s="8" t="s">
        <v>84</v>
      </c>
      <c r="G23" s="10"/>
    </row>
    <row r="24" spans="1:7" ht="16" thickBot="1" x14ac:dyDescent="0.25">
      <c r="A24" s="4" t="s">
        <v>19</v>
      </c>
      <c r="B24" s="7"/>
      <c r="D24" s="8" t="s">
        <v>85</v>
      </c>
      <c r="E24" s="8" t="s">
        <v>16</v>
      </c>
      <c r="F24" s="8" t="s">
        <v>86</v>
      </c>
      <c r="G24" s="11"/>
    </row>
    <row r="25" spans="1:7" ht="16" thickBot="1" x14ac:dyDescent="0.25">
      <c r="A25" s="4" t="s">
        <v>20</v>
      </c>
      <c r="B25" s="7"/>
      <c r="D25" s="8" t="s">
        <v>23</v>
      </c>
      <c r="E25" s="8" t="s">
        <v>22</v>
      </c>
      <c r="F25" s="8" t="s">
        <v>87</v>
      </c>
      <c r="G25" s="9" t="s">
        <v>88</v>
      </c>
    </row>
    <row r="26" spans="1:7" ht="16" thickBot="1" x14ac:dyDescent="0.25">
      <c r="A26" s="4" t="s">
        <v>21</v>
      </c>
      <c r="B26" s="7"/>
      <c r="D26" s="8" t="s">
        <v>89</v>
      </c>
      <c r="E26" s="8" t="s">
        <v>90</v>
      </c>
      <c r="F26" s="8" t="s">
        <v>91</v>
      </c>
      <c r="G26" s="10"/>
    </row>
    <row r="27" spans="1:7" ht="16" thickBot="1" x14ac:dyDescent="0.25">
      <c r="A27" s="4" t="s">
        <v>42</v>
      </c>
      <c r="B27" s="7"/>
      <c r="D27" s="8" t="s">
        <v>25</v>
      </c>
      <c r="E27" s="8" t="s">
        <v>92</v>
      </c>
      <c r="F27" s="8" t="s">
        <v>93</v>
      </c>
      <c r="G27" s="11"/>
    </row>
    <row r="28" spans="1:7" ht="16" thickBot="1" x14ac:dyDescent="0.25">
      <c r="A28" s="4" t="s">
        <v>46</v>
      </c>
      <c r="B28" s="7"/>
    </row>
    <row r="29" spans="1:7" ht="16" thickBot="1" x14ac:dyDescent="0.25">
      <c r="A29" s="4" t="s">
        <v>47</v>
      </c>
      <c r="B29" s="7"/>
    </row>
    <row r="30" spans="1:7" ht="16" thickBot="1" x14ac:dyDescent="0.25">
      <c r="A30" s="6" t="s">
        <v>40</v>
      </c>
      <c r="B30" t="s">
        <v>94</v>
      </c>
    </row>
    <row r="31" spans="1:7" ht="16" thickBot="1" x14ac:dyDescent="0.25">
      <c r="A31" s="4" t="s">
        <v>23</v>
      </c>
      <c r="B31" t="s">
        <v>95</v>
      </c>
    </row>
    <row r="32" spans="1:7" ht="16" thickBot="1" x14ac:dyDescent="0.25">
      <c r="A32" s="4" t="s">
        <v>24</v>
      </c>
      <c r="B32" t="s">
        <v>96</v>
      </c>
    </row>
    <row r="33" spans="1:2" ht="16" thickBot="1" x14ac:dyDescent="0.25">
      <c r="A33" s="4" t="s">
        <v>25</v>
      </c>
      <c r="B33" t="s">
        <v>97</v>
      </c>
    </row>
    <row r="34" spans="1:2" ht="16" thickBot="1" x14ac:dyDescent="0.25">
      <c r="A34" s="4" t="s">
        <v>48</v>
      </c>
      <c r="B34" t="s">
        <v>98</v>
      </c>
    </row>
  </sheetData>
  <mergeCells count="3">
    <mergeCell ref="B13:B29"/>
    <mergeCell ref="G15:G24"/>
    <mergeCell ref="G25:G2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4DCF6-3A8F-45E7-984A-6B02C0A87B82}">
  <dimension ref="A1:AF97"/>
  <sheetViews>
    <sheetView topLeftCell="D1" workbookViewId="0">
      <selection activeCell="AF1" sqref="A1:AF1"/>
    </sheetView>
  </sheetViews>
  <sheetFormatPr baseColWidth="10" defaultColWidth="8.5" defaultRowHeight="15" x14ac:dyDescent="0.2"/>
  <cols>
    <col min="1" max="1" width="9.6640625" bestFit="1" customWidth="1"/>
    <col min="2" max="2" width="6.5" bestFit="1" customWidth="1"/>
    <col min="3" max="3" width="8.83203125" bestFit="1" customWidth="1"/>
    <col min="4" max="4" width="26.83203125" bestFit="1" customWidth="1"/>
    <col min="5" max="5" width="10.33203125" bestFit="1" customWidth="1"/>
    <col min="6" max="6" width="8.1640625" style="2" bestFit="1" customWidth="1"/>
    <col min="7" max="7" width="7.83203125" bestFit="1" customWidth="1"/>
    <col min="8" max="8" width="7.5" bestFit="1" customWidth="1"/>
    <col min="9" max="9" width="13.1640625" style="1" bestFit="1" customWidth="1"/>
    <col min="10" max="10" width="27.5" bestFit="1" customWidth="1"/>
    <col min="11" max="11" width="18.33203125" bestFit="1" customWidth="1"/>
    <col min="12" max="12" width="19.83203125" bestFit="1" customWidth="1"/>
    <col min="13" max="13" width="17.6640625" bestFit="1" customWidth="1"/>
    <col min="14" max="14" width="19.6640625" bestFit="1" customWidth="1"/>
    <col min="15" max="15" width="11.6640625" bestFit="1" customWidth="1"/>
    <col min="16" max="16" width="8" bestFit="1" customWidth="1"/>
    <col min="17" max="17" width="11.6640625" bestFit="1" customWidth="1"/>
    <col min="18" max="18" width="7.6640625" bestFit="1" customWidth="1"/>
    <col min="19" max="19" width="6.83203125" bestFit="1" customWidth="1"/>
    <col min="20" max="20" width="14.33203125" bestFit="1" customWidth="1"/>
    <col min="21" max="21" width="12" bestFit="1" customWidth="1"/>
    <col min="22" max="22" width="10.33203125" bestFit="1" customWidth="1"/>
    <col min="23" max="23" width="14.1640625" bestFit="1" customWidth="1"/>
    <col min="24" max="24" width="13.33203125" style="1" bestFit="1" customWidth="1"/>
    <col min="25" max="25" width="9.5" bestFit="1" customWidth="1"/>
    <col min="26" max="26" width="11.5" bestFit="1" customWidth="1"/>
    <col min="27" max="28" width="7.33203125" bestFit="1" customWidth="1"/>
    <col min="29" max="29" width="13.6640625" bestFit="1" customWidth="1"/>
    <col min="30" max="30" width="12.33203125" bestFit="1" customWidth="1"/>
    <col min="31" max="31" width="13.83203125" bestFit="1" customWidth="1"/>
    <col min="32" max="32" width="11.5" bestFit="1" customWidth="1"/>
    <col min="33" max="37" width="10.5" customWidth="1"/>
    <col min="38" max="127" width="11.5" customWidth="1"/>
    <col min="128" max="1027" width="12.5" customWidth="1"/>
    <col min="1028" max="10027" width="13.5" customWidth="1"/>
    <col min="10028" max="16384" width="14.5" customWidth="1"/>
  </cols>
  <sheetData>
    <row r="1" spans="1:32" x14ac:dyDescent="0.2">
      <c r="A1" t="s">
        <v>0</v>
      </c>
      <c r="B1" t="s">
        <v>1</v>
      </c>
      <c r="C1" t="s">
        <v>3</v>
      </c>
      <c r="D1" t="s">
        <v>4</v>
      </c>
      <c r="E1" t="s">
        <v>35</v>
      </c>
      <c r="F1" s="2" t="s">
        <v>2</v>
      </c>
      <c r="G1" t="s">
        <v>5</v>
      </c>
      <c r="H1" t="s">
        <v>6</v>
      </c>
      <c r="I1" s="1" t="s">
        <v>7</v>
      </c>
      <c r="J1" t="s">
        <v>43</v>
      </c>
      <c r="K1" t="s">
        <v>10</v>
      </c>
      <c r="L1" t="s">
        <v>11</v>
      </c>
      <c r="M1" t="s">
        <v>8</v>
      </c>
      <c r="N1" t="s">
        <v>9</v>
      </c>
      <c r="O1" t="s">
        <v>12</v>
      </c>
      <c r="P1" t="s">
        <v>13</v>
      </c>
      <c r="Q1" t="s">
        <v>14</v>
      </c>
      <c r="R1" t="s">
        <v>15</v>
      </c>
      <c r="S1" t="s">
        <v>16</v>
      </c>
      <c r="T1" t="s">
        <v>17</v>
      </c>
      <c r="U1" t="s">
        <v>18</v>
      </c>
      <c r="V1" t="s">
        <v>19</v>
      </c>
      <c r="W1" t="s">
        <v>20</v>
      </c>
      <c r="X1" t="s">
        <v>21</v>
      </c>
      <c r="Y1" t="s">
        <v>42</v>
      </c>
      <c r="Z1" t="s">
        <v>46</v>
      </c>
      <c r="AA1" t="s">
        <v>47</v>
      </c>
      <c r="AB1" s="1" t="s">
        <v>40</v>
      </c>
      <c r="AC1" t="s">
        <v>23</v>
      </c>
      <c r="AD1" t="s">
        <v>24</v>
      </c>
      <c r="AE1" t="s">
        <v>25</v>
      </c>
      <c r="AF1" t="s">
        <v>48</v>
      </c>
    </row>
    <row r="2" spans="1:32" x14ac:dyDescent="0.2">
      <c r="A2">
        <v>1</v>
      </c>
      <c r="B2">
        <v>1</v>
      </c>
      <c r="C2" t="s">
        <v>22</v>
      </c>
      <c r="D2" t="s">
        <v>29</v>
      </c>
      <c r="E2" t="s">
        <v>38</v>
      </c>
      <c r="F2" s="2">
        <v>0.36319444444444443</v>
      </c>
      <c r="G2" t="s">
        <v>30</v>
      </c>
      <c r="H2" t="s">
        <v>31</v>
      </c>
      <c r="I2" s="1" t="s">
        <v>32</v>
      </c>
      <c r="J2" s="3">
        <f>37-Table1[[#This Row],[OOS]]</f>
        <v>37</v>
      </c>
      <c r="K2">
        <v>30</v>
      </c>
      <c r="L2">
        <v>3</v>
      </c>
      <c r="M2">
        <v>0</v>
      </c>
      <c r="N2">
        <v>0</v>
      </c>
      <c r="O2">
        <v>0</v>
      </c>
      <c r="P2">
        <v>4</v>
      </c>
      <c r="Q2">
        <v>0</v>
      </c>
      <c r="R2">
        <v>0</v>
      </c>
      <c r="S2">
        <v>0</v>
      </c>
      <c r="T2">
        <v>0</v>
      </c>
      <c r="U2">
        <v>0</v>
      </c>
      <c r="V2">
        <v>0</v>
      </c>
      <c r="W2">
        <v>0</v>
      </c>
      <c r="X2">
        <v>0</v>
      </c>
      <c r="AB2" s="1">
        <f t="shared" ref="AB2:AB33" si="0">SUM(K2:AA2)</f>
        <v>37</v>
      </c>
      <c r="AC2">
        <v>4</v>
      </c>
      <c r="AD2">
        <v>0</v>
      </c>
      <c r="AE2">
        <v>0</v>
      </c>
    </row>
    <row r="3" spans="1:32" x14ac:dyDescent="0.2">
      <c r="A3">
        <v>2</v>
      </c>
      <c r="B3">
        <v>1</v>
      </c>
      <c r="C3" t="s">
        <v>22</v>
      </c>
      <c r="D3" t="s">
        <v>29</v>
      </c>
      <c r="E3" t="s">
        <v>38</v>
      </c>
      <c r="F3" s="2">
        <v>0.36805555555555558</v>
      </c>
      <c r="G3" t="s">
        <v>33</v>
      </c>
      <c r="H3" t="s">
        <v>34</v>
      </c>
      <c r="I3" s="1" t="s">
        <v>32</v>
      </c>
      <c r="J3" s="3">
        <f>37-Table1[[#This Row],[OOS]]</f>
        <v>37</v>
      </c>
      <c r="K3">
        <v>0</v>
      </c>
      <c r="L3">
        <v>0</v>
      </c>
      <c r="M3">
        <v>18</v>
      </c>
      <c r="N3">
        <v>10</v>
      </c>
      <c r="O3">
        <v>6</v>
      </c>
      <c r="P3">
        <v>0</v>
      </c>
      <c r="Q3">
        <v>1</v>
      </c>
      <c r="R3">
        <v>2</v>
      </c>
      <c r="S3">
        <v>0</v>
      </c>
      <c r="T3">
        <v>0</v>
      </c>
      <c r="U3">
        <v>0</v>
      </c>
      <c r="V3">
        <v>0</v>
      </c>
      <c r="W3">
        <v>0</v>
      </c>
      <c r="X3">
        <v>0</v>
      </c>
      <c r="AB3" s="1">
        <f t="shared" si="0"/>
        <v>37</v>
      </c>
      <c r="AC3">
        <v>26</v>
      </c>
      <c r="AD3">
        <v>6</v>
      </c>
      <c r="AE3">
        <v>0</v>
      </c>
    </row>
    <row r="4" spans="1:32" x14ac:dyDescent="0.2">
      <c r="A4">
        <v>3</v>
      </c>
      <c r="B4">
        <v>1</v>
      </c>
      <c r="C4" t="s">
        <v>22</v>
      </c>
      <c r="D4" t="s">
        <v>29</v>
      </c>
      <c r="E4" t="s">
        <v>37</v>
      </c>
      <c r="F4" s="2">
        <v>0.37291666666666667</v>
      </c>
      <c r="G4" t="s">
        <v>30</v>
      </c>
      <c r="H4" t="s">
        <v>31</v>
      </c>
      <c r="I4" s="1" t="s">
        <v>32</v>
      </c>
      <c r="J4" s="3">
        <f>37-Table1[[#This Row],[OOS]]</f>
        <v>37</v>
      </c>
      <c r="K4">
        <v>34</v>
      </c>
      <c r="L4">
        <v>0</v>
      </c>
      <c r="M4">
        <v>0</v>
      </c>
      <c r="N4">
        <v>0</v>
      </c>
      <c r="O4">
        <v>0</v>
      </c>
      <c r="P4">
        <v>3</v>
      </c>
      <c r="Q4">
        <v>0</v>
      </c>
      <c r="R4">
        <v>0</v>
      </c>
      <c r="S4">
        <v>0</v>
      </c>
      <c r="T4">
        <v>0</v>
      </c>
      <c r="U4">
        <v>0</v>
      </c>
      <c r="V4">
        <v>0</v>
      </c>
      <c r="W4">
        <v>0</v>
      </c>
      <c r="X4">
        <v>0</v>
      </c>
      <c r="AB4" s="1">
        <f t="shared" si="0"/>
        <v>37</v>
      </c>
      <c r="AC4">
        <v>32</v>
      </c>
      <c r="AD4">
        <v>0</v>
      </c>
      <c r="AE4">
        <v>0</v>
      </c>
    </row>
    <row r="5" spans="1:32" x14ac:dyDescent="0.2">
      <c r="A5">
        <v>4</v>
      </c>
      <c r="B5">
        <v>1</v>
      </c>
      <c r="C5" t="s">
        <v>22</v>
      </c>
      <c r="D5" t="s">
        <v>29</v>
      </c>
      <c r="E5" t="s">
        <v>37</v>
      </c>
      <c r="F5" s="2">
        <v>0.37847222222222221</v>
      </c>
      <c r="G5" t="s">
        <v>33</v>
      </c>
      <c r="H5" t="s">
        <v>34</v>
      </c>
      <c r="I5" s="1" t="s">
        <v>32</v>
      </c>
      <c r="J5" s="3">
        <f>37-Table1[[#This Row],[OOS]]</f>
        <v>37</v>
      </c>
      <c r="K5">
        <v>0</v>
      </c>
      <c r="L5">
        <v>0</v>
      </c>
      <c r="M5">
        <v>35</v>
      </c>
      <c r="N5">
        <v>0</v>
      </c>
      <c r="O5">
        <v>0</v>
      </c>
      <c r="P5">
        <v>2</v>
      </c>
      <c r="Q5">
        <v>0</v>
      </c>
      <c r="R5">
        <v>0</v>
      </c>
      <c r="S5">
        <v>0</v>
      </c>
      <c r="T5">
        <v>0</v>
      </c>
      <c r="U5">
        <v>0</v>
      </c>
      <c r="V5">
        <v>0</v>
      </c>
      <c r="W5">
        <v>0</v>
      </c>
      <c r="X5">
        <v>0</v>
      </c>
      <c r="AB5" s="1">
        <f t="shared" si="0"/>
        <v>37</v>
      </c>
      <c r="AC5">
        <v>33</v>
      </c>
      <c r="AD5">
        <v>0</v>
      </c>
      <c r="AE5">
        <v>0</v>
      </c>
    </row>
    <row r="6" spans="1:32" x14ac:dyDescent="0.2">
      <c r="A6">
        <v>5</v>
      </c>
      <c r="B6">
        <v>1</v>
      </c>
      <c r="C6" t="s">
        <v>22</v>
      </c>
      <c r="D6" t="s">
        <v>29</v>
      </c>
      <c r="E6" t="s">
        <v>36</v>
      </c>
      <c r="F6" s="2">
        <v>0.38263888888888886</v>
      </c>
      <c r="G6" t="s">
        <v>33</v>
      </c>
      <c r="H6" t="s">
        <v>34</v>
      </c>
      <c r="I6" s="1" t="s">
        <v>32</v>
      </c>
      <c r="J6" s="3">
        <f>37-Table1[[#This Row],[OOS]]</f>
        <v>36</v>
      </c>
      <c r="K6">
        <v>0</v>
      </c>
      <c r="L6">
        <v>0</v>
      </c>
      <c r="M6">
        <v>36</v>
      </c>
      <c r="N6">
        <v>0</v>
      </c>
      <c r="O6">
        <v>0</v>
      </c>
      <c r="P6">
        <v>0</v>
      </c>
      <c r="Q6">
        <v>0</v>
      </c>
      <c r="R6">
        <v>0</v>
      </c>
      <c r="S6">
        <v>1</v>
      </c>
      <c r="T6">
        <v>0</v>
      </c>
      <c r="U6">
        <v>0</v>
      </c>
      <c r="V6">
        <v>0</v>
      </c>
      <c r="W6">
        <v>0</v>
      </c>
      <c r="X6">
        <v>0</v>
      </c>
      <c r="AB6" s="1">
        <f t="shared" si="0"/>
        <v>37</v>
      </c>
      <c r="AC6">
        <v>57</v>
      </c>
      <c r="AD6">
        <v>0</v>
      </c>
      <c r="AE6">
        <v>0</v>
      </c>
    </row>
    <row r="7" spans="1:32" x14ac:dyDescent="0.2">
      <c r="A7">
        <v>6</v>
      </c>
      <c r="B7">
        <v>1</v>
      </c>
      <c r="C7" t="s">
        <v>22</v>
      </c>
      <c r="D7" t="s">
        <v>29</v>
      </c>
      <c r="E7" t="s">
        <v>36</v>
      </c>
      <c r="F7" s="2">
        <v>0.38750000000000001</v>
      </c>
      <c r="G7" t="s">
        <v>30</v>
      </c>
      <c r="H7" t="s">
        <v>31</v>
      </c>
      <c r="I7" s="1" t="s">
        <v>32</v>
      </c>
      <c r="J7" s="3">
        <f>37-Table1[[#This Row],[OOS]]</f>
        <v>37</v>
      </c>
      <c r="K7">
        <v>37</v>
      </c>
      <c r="L7">
        <v>0</v>
      </c>
      <c r="M7">
        <v>0</v>
      </c>
      <c r="N7">
        <v>0</v>
      </c>
      <c r="O7">
        <v>0</v>
      </c>
      <c r="P7">
        <v>0</v>
      </c>
      <c r="Q7">
        <v>0</v>
      </c>
      <c r="R7">
        <v>0</v>
      </c>
      <c r="S7">
        <v>0</v>
      </c>
      <c r="T7">
        <v>0</v>
      </c>
      <c r="U7">
        <v>0</v>
      </c>
      <c r="V7">
        <v>0</v>
      </c>
      <c r="W7">
        <v>0</v>
      </c>
      <c r="X7">
        <v>0</v>
      </c>
      <c r="AB7" s="1">
        <f t="shared" si="0"/>
        <v>37</v>
      </c>
      <c r="AC7">
        <v>14</v>
      </c>
      <c r="AD7">
        <v>0</v>
      </c>
      <c r="AE7">
        <v>0</v>
      </c>
    </row>
    <row r="8" spans="1:32" x14ac:dyDescent="0.2">
      <c r="A8">
        <v>7</v>
      </c>
      <c r="B8">
        <v>1</v>
      </c>
      <c r="C8" t="s">
        <v>22</v>
      </c>
      <c r="D8" t="s">
        <v>29</v>
      </c>
      <c r="E8" t="s">
        <v>36</v>
      </c>
      <c r="F8" s="2">
        <v>0.39861111111111114</v>
      </c>
      <c r="G8" t="s">
        <v>30</v>
      </c>
      <c r="H8" t="s">
        <v>34</v>
      </c>
      <c r="I8" s="1" t="s">
        <v>39</v>
      </c>
      <c r="J8" s="3">
        <f>37-Table1[[#This Row],[OOS]]</f>
        <v>37</v>
      </c>
      <c r="K8">
        <v>0</v>
      </c>
      <c r="L8">
        <v>0</v>
      </c>
      <c r="M8">
        <v>33</v>
      </c>
      <c r="N8">
        <v>0</v>
      </c>
      <c r="O8">
        <v>0</v>
      </c>
      <c r="P8">
        <v>4</v>
      </c>
      <c r="Q8">
        <v>0</v>
      </c>
      <c r="R8">
        <v>0</v>
      </c>
      <c r="S8">
        <v>0</v>
      </c>
      <c r="T8">
        <v>0</v>
      </c>
      <c r="U8">
        <v>0</v>
      </c>
      <c r="V8">
        <v>0</v>
      </c>
      <c r="W8">
        <v>0</v>
      </c>
      <c r="X8">
        <v>0</v>
      </c>
      <c r="AB8" s="1">
        <f t="shared" si="0"/>
        <v>37</v>
      </c>
      <c r="AC8">
        <v>21</v>
      </c>
      <c r="AD8">
        <v>0</v>
      </c>
      <c r="AE8">
        <v>0</v>
      </c>
    </row>
    <row r="9" spans="1:32" x14ac:dyDescent="0.2">
      <c r="A9">
        <v>8</v>
      </c>
      <c r="B9">
        <v>1</v>
      </c>
      <c r="C9" t="s">
        <v>22</v>
      </c>
      <c r="D9" t="s">
        <v>29</v>
      </c>
      <c r="E9" t="s">
        <v>36</v>
      </c>
      <c r="F9" s="2">
        <v>0.40277777777777779</v>
      </c>
      <c r="G9" t="s">
        <v>33</v>
      </c>
      <c r="H9" t="s">
        <v>34</v>
      </c>
      <c r="I9" s="1" t="s">
        <v>39</v>
      </c>
      <c r="J9" s="3">
        <f>37-Table1[[#This Row],[OOS]]</f>
        <v>37</v>
      </c>
      <c r="K9">
        <v>0</v>
      </c>
      <c r="L9">
        <v>0</v>
      </c>
      <c r="M9">
        <v>36</v>
      </c>
      <c r="N9">
        <v>0</v>
      </c>
      <c r="O9">
        <v>1</v>
      </c>
      <c r="P9">
        <v>0</v>
      </c>
      <c r="Q9">
        <v>0</v>
      </c>
      <c r="R9">
        <v>0</v>
      </c>
      <c r="S9">
        <v>0</v>
      </c>
      <c r="T9">
        <v>0</v>
      </c>
      <c r="U9">
        <v>0</v>
      </c>
      <c r="V9">
        <v>0</v>
      </c>
      <c r="W9">
        <v>0</v>
      </c>
      <c r="X9">
        <v>0</v>
      </c>
      <c r="AB9" s="1">
        <f t="shared" si="0"/>
        <v>37</v>
      </c>
      <c r="AC9">
        <v>33</v>
      </c>
      <c r="AD9">
        <v>4</v>
      </c>
      <c r="AE9">
        <v>0</v>
      </c>
    </row>
    <row r="10" spans="1:32" x14ac:dyDescent="0.2">
      <c r="A10">
        <v>9</v>
      </c>
      <c r="B10">
        <v>1</v>
      </c>
      <c r="C10" t="s">
        <v>22</v>
      </c>
      <c r="D10" t="s">
        <v>29</v>
      </c>
      <c r="E10" t="s">
        <v>37</v>
      </c>
      <c r="F10" s="2">
        <v>0.40694444444444444</v>
      </c>
      <c r="G10" t="s">
        <v>33</v>
      </c>
      <c r="H10" t="s">
        <v>34</v>
      </c>
      <c r="I10" s="1" t="s">
        <v>39</v>
      </c>
      <c r="J10" s="3">
        <f>37-Table1[[#This Row],[OOS]]</f>
        <v>37</v>
      </c>
      <c r="K10">
        <v>0</v>
      </c>
      <c r="L10">
        <v>0</v>
      </c>
      <c r="M10">
        <v>37</v>
      </c>
      <c r="N10">
        <v>0</v>
      </c>
      <c r="O10">
        <v>0</v>
      </c>
      <c r="P10">
        <v>0</v>
      </c>
      <c r="Q10">
        <v>0</v>
      </c>
      <c r="R10">
        <v>0</v>
      </c>
      <c r="S10">
        <v>0</v>
      </c>
      <c r="T10">
        <v>0</v>
      </c>
      <c r="U10">
        <v>0</v>
      </c>
      <c r="V10">
        <v>0</v>
      </c>
      <c r="W10">
        <v>0</v>
      </c>
      <c r="X10">
        <v>0</v>
      </c>
      <c r="AB10" s="1">
        <f t="shared" si="0"/>
        <v>37</v>
      </c>
      <c r="AC10">
        <v>16</v>
      </c>
      <c r="AD10">
        <v>0</v>
      </c>
      <c r="AE10">
        <v>0</v>
      </c>
    </row>
    <row r="11" spans="1:32" x14ac:dyDescent="0.2">
      <c r="A11">
        <v>10</v>
      </c>
      <c r="B11">
        <v>1</v>
      </c>
      <c r="C11" t="s">
        <v>22</v>
      </c>
      <c r="D11" t="s">
        <v>29</v>
      </c>
      <c r="E11" t="s">
        <v>37</v>
      </c>
      <c r="F11" s="2">
        <v>0.41388888888888886</v>
      </c>
      <c r="G11" t="s">
        <v>30</v>
      </c>
      <c r="H11" t="s">
        <v>34</v>
      </c>
      <c r="I11" s="1" t="s">
        <v>39</v>
      </c>
      <c r="J11" s="3">
        <f>37-Table1[[#This Row],[OOS]]</f>
        <v>37</v>
      </c>
      <c r="K11">
        <v>0</v>
      </c>
      <c r="L11">
        <v>0</v>
      </c>
      <c r="M11">
        <v>36</v>
      </c>
      <c r="N11">
        <v>0</v>
      </c>
      <c r="O11">
        <v>0</v>
      </c>
      <c r="P11">
        <v>1</v>
      </c>
      <c r="Q11">
        <v>0</v>
      </c>
      <c r="R11">
        <v>0</v>
      </c>
      <c r="S11">
        <v>0</v>
      </c>
      <c r="T11">
        <v>0</v>
      </c>
      <c r="U11">
        <v>0</v>
      </c>
      <c r="V11">
        <v>0</v>
      </c>
      <c r="W11">
        <v>0</v>
      </c>
      <c r="X11">
        <v>0</v>
      </c>
      <c r="AB11" s="1">
        <f t="shared" si="0"/>
        <v>37</v>
      </c>
      <c r="AC11">
        <v>24</v>
      </c>
      <c r="AD11">
        <v>3</v>
      </c>
      <c r="AE11">
        <v>0</v>
      </c>
    </row>
    <row r="12" spans="1:32" x14ac:dyDescent="0.2">
      <c r="A12">
        <v>11</v>
      </c>
      <c r="B12">
        <v>1</v>
      </c>
      <c r="C12" t="s">
        <v>22</v>
      </c>
      <c r="D12" t="s">
        <v>29</v>
      </c>
      <c r="E12" t="s">
        <v>38</v>
      </c>
      <c r="F12" s="2">
        <v>0.41944444444444445</v>
      </c>
      <c r="G12" t="s">
        <v>30</v>
      </c>
      <c r="H12" t="s">
        <v>34</v>
      </c>
      <c r="I12" s="1" t="s">
        <v>39</v>
      </c>
      <c r="J12" s="3">
        <f>37-Table1[[#This Row],[OOS]]</f>
        <v>35</v>
      </c>
      <c r="K12">
        <v>0</v>
      </c>
      <c r="L12">
        <v>0</v>
      </c>
      <c r="M12">
        <v>21</v>
      </c>
      <c r="N12">
        <v>5</v>
      </c>
      <c r="O12">
        <v>6</v>
      </c>
      <c r="P12">
        <v>0</v>
      </c>
      <c r="Q12">
        <v>2</v>
      </c>
      <c r="R12">
        <v>0</v>
      </c>
      <c r="S12">
        <v>2</v>
      </c>
      <c r="T12">
        <v>0</v>
      </c>
      <c r="U12">
        <v>1</v>
      </c>
      <c r="V12">
        <v>0</v>
      </c>
      <c r="W12">
        <v>0</v>
      </c>
      <c r="X12">
        <v>0</v>
      </c>
      <c r="AB12" s="1">
        <f t="shared" si="0"/>
        <v>37</v>
      </c>
      <c r="AC12">
        <v>21</v>
      </c>
      <c r="AD12">
        <v>0</v>
      </c>
      <c r="AE12">
        <v>1</v>
      </c>
    </row>
    <row r="13" spans="1:32" x14ac:dyDescent="0.2">
      <c r="A13">
        <v>12</v>
      </c>
      <c r="B13">
        <v>1</v>
      </c>
      <c r="C13" t="s">
        <v>22</v>
      </c>
      <c r="D13" t="s">
        <v>29</v>
      </c>
      <c r="E13" t="s">
        <v>38</v>
      </c>
      <c r="F13" s="2">
        <v>0.42222222222222222</v>
      </c>
      <c r="G13" t="s">
        <v>33</v>
      </c>
      <c r="H13" t="s">
        <v>34</v>
      </c>
      <c r="I13" s="1" t="s">
        <v>39</v>
      </c>
      <c r="J13" s="3">
        <f>37-Table1[[#This Row],[OOS]]</f>
        <v>36</v>
      </c>
      <c r="K13">
        <v>0</v>
      </c>
      <c r="L13">
        <v>0</v>
      </c>
      <c r="M13">
        <v>34</v>
      </c>
      <c r="N13">
        <v>0</v>
      </c>
      <c r="O13">
        <v>1</v>
      </c>
      <c r="P13">
        <v>0</v>
      </c>
      <c r="Q13">
        <v>0</v>
      </c>
      <c r="R13">
        <v>1</v>
      </c>
      <c r="S13">
        <v>1</v>
      </c>
      <c r="T13">
        <v>0</v>
      </c>
      <c r="U13">
        <v>0</v>
      </c>
      <c r="V13">
        <v>0</v>
      </c>
      <c r="W13">
        <v>0</v>
      </c>
      <c r="X13">
        <v>0</v>
      </c>
      <c r="AB13" s="1">
        <f t="shared" si="0"/>
        <v>37</v>
      </c>
      <c r="AC13">
        <v>33</v>
      </c>
      <c r="AD13">
        <v>5</v>
      </c>
      <c r="AE13">
        <v>0</v>
      </c>
    </row>
    <row r="14" spans="1:32" x14ac:dyDescent="0.2">
      <c r="A14">
        <v>13</v>
      </c>
      <c r="B14">
        <v>1</v>
      </c>
      <c r="C14" t="s">
        <v>26</v>
      </c>
      <c r="D14" t="s">
        <v>29</v>
      </c>
      <c r="E14" t="s">
        <v>36</v>
      </c>
      <c r="F14" s="2">
        <v>0.45069444444444445</v>
      </c>
      <c r="G14" t="s">
        <v>30</v>
      </c>
      <c r="H14" t="s">
        <v>34</v>
      </c>
      <c r="I14" s="1" t="s">
        <v>39</v>
      </c>
      <c r="J14" s="3">
        <f>37-Table1[[#This Row],[OOS]]</f>
        <v>37</v>
      </c>
      <c r="K14">
        <v>0</v>
      </c>
      <c r="L14">
        <v>0</v>
      </c>
      <c r="M14">
        <v>32</v>
      </c>
      <c r="N14">
        <v>0</v>
      </c>
      <c r="O14">
        <v>2</v>
      </c>
      <c r="P14">
        <v>1</v>
      </c>
      <c r="Q14">
        <v>2</v>
      </c>
      <c r="R14">
        <v>0</v>
      </c>
      <c r="S14">
        <v>0</v>
      </c>
      <c r="T14">
        <v>0</v>
      </c>
      <c r="U14">
        <v>0</v>
      </c>
      <c r="V14">
        <v>0</v>
      </c>
      <c r="W14">
        <v>0</v>
      </c>
      <c r="X14">
        <v>0</v>
      </c>
      <c r="AB14" s="1">
        <f t="shared" si="0"/>
        <v>37</v>
      </c>
      <c r="AC14">
        <v>26</v>
      </c>
      <c r="AD14">
        <v>4</v>
      </c>
      <c r="AE14">
        <v>0</v>
      </c>
    </row>
    <row r="15" spans="1:32" x14ac:dyDescent="0.2">
      <c r="A15">
        <v>14</v>
      </c>
      <c r="B15">
        <v>1</v>
      </c>
      <c r="C15" t="s">
        <v>26</v>
      </c>
      <c r="D15" t="s">
        <v>29</v>
      </c>
      <c r="E15" t="s">
        <v>36</v>
      </c>
      <c r="F15" s="2">
        <v>0.45277777777777778</v>
      </c>
      <c r="G15" t="s">
        <v>33</v>
      </c>
      <c r="H15" t="s">
        <v>34</v>
      </c>
      <c r="I15" s="1" t="s">
        <v>39</v>
      </c>
      <c r="J15" s="3">
        <f>37-Table1[[#This Row],[OOS]]</f>
        <v>37</v>
      </c>
      <c r="K15">
        <v>0</v>
      </c>
      <c r="L15">
        <v>0</v>
      </c>
      <c r="M15">
        <v>36</v>
      </c>
      <c r="N15">
        <v>0</v>
      </c>
      <c r="O15">
        <v>0</v>
      </c>
      <c r="P15">
        <v>1</v>
      </c>
      <c r="Q15">
        <v>0</v>
      </c>
      <c r="R15">
        <v>0</v>
      </c>
      <c r="S15">
        <v>0</v>
      </c>
      <c r="T15">
        <v>0</v>
      </c>
      <c r="U15">
        <v>0</v>
      </c>
      <c r="V15">
        <v>0</v>
      </c>
      <c r="W15">
        <v>0</v>
      </c>
      <c r="X15">
        <v>0</v>
      </c>
      <c r="AB15" s="1">
        <f t="shared" si="0"/>
        <v>37</v>
      </c>
      <c r="AC15">
        <v>40</v>
      </c>
      <c r="AD15">
        <v>5</v>
      </c>
      <c r="AE15">
        <v>0</v>
      </c>
    </row>
    <row r="16" spans="1:32" x14ac:dyDescent="0.2">
      <c r="A16">
        <v>15</v>
      </c>
      <c r="B16">
        <v>1</v>
      </c>
      <c r="C16" t="s">
        <v>26</v>
      </c>
      <c r="D16" t="s">
        <v>29</v>
      </c>
      <c r="E16" t="s">
        <v>37</v>
      </c>
      <c r="F16" s="2">
        <v>0.45694444444444443</v>
      </c>
      <c r="G16" t="s">
        <v>33</v>
      </c>
      <c r="H16" t="s">
        <v>34</v>
      </c>
      <c r="I16" s="1" t="s">
        <v>39</v>
      </c>
      <c r="J16" s="3">
        <f>37-Table1[[#This Row],[OOS]]</f>
        <v>37</v>
      </c>
      <c r="K16">
        <v>0</v>
      </c>
      <c r="L16">
        <v>0</v>
      </c>
      <c r="M16">
        <v>35</v>
      </c>
      <c r="N16">
        <v>0</v>
      </c>
      <c r="O16">
        <v>1</v>
      </c>
      <c r="P16">
        <v>0</v>
      </c>
      <c r="Q16">
        <v>1</v>
      </c>
      <c r="R16">
        <v>0</v>
      </c>
      <c r="S16">
        <v>0</v>
      </c>
      <c r="T16">
        <v>0</v>
      </c>
      <c r="U16">
        <v>0</v>
      </c>
      <c r="V16">
        <v>0</v>
      </c>
      <c r="W16">
        <v>0</v>
      </c>
      <c r="X16">
        <v>0</v>
      </c>
      <c r="AB16" s="1">
        <f t="shared" si="0"/>
        <v>37</v>
      </c>
      <c r="AC16">
        <v>29</v>
      </c>
      <c r="AD16">
        <v>1</v>
      </c>
      <c r="AE16">
        <v>0</v>
      </c>
    </row>
    <row r="17" spans="1:32" x14ac:dyDescent="0.2">
      <c r="A17">
        <v>16</v>
      </c>
      <c r="B17">
        <v>1</v>
      </c>
      <c r="C17" t="s">
        <v>26</v>
      </c>
      <c r="D17" t="s">
        <v>29</v>
      </c>
      <c r="E17" t="s">
        <v>37</v>
      </c>
      <c r="F17" s="2">
        <v>0.46111111111111114</v>
      </c>
      <c r="G17" t="s">
        <v>30</v>
      </c>
      <c r="H17" t="s">
        <v>34</v>
      </c>
      <c r="I17" s="1" t="s">
        <v>39</v>
      </c>
      <c r="J17" s="3">
        <f>37-Table1[[#This Row],[OOS]]</f>
        <v>37</v>
      </c>
      <c r="K17">
        <v>0</v>
      </c>
      <c r="L17">
        <v>0</v>
      </c>
      <c r="M17">
        <v>36</v>
      </c>
      <c r="N17">
        <v>0</v>
      </c>
      <c r="O17">
        <v>0</v>
      </c>
      <c r="P17">
        <v>0</v>
      </c>
      <c r="Q17">
        <v>1</v>
      </c>
      <c r="R17">
        <v>0</v>
      </c>
      <c r="S17">
        <v>0</v>
      </c>
      <c r="T17">
        <v>0</v>
      </c>
      <c r="U17">
        <v>0</v>
      </c>
      <c r="V17">
        <v>0</v>
      </c>
      <c r="W17">
        <v>0</v>
      </c>
      <c r="X17">
        <v>0</v>
      </c>
      <c r="AB17" s="1">
        <f t="shared" si="0"/>
        <v>37</v>
      </c>
      <c r="AC17">
        <v>25</v>
      </c>
      <c r="AD17">
        <v>1</v>
      </c>
      <c r="AE17">
        <v>0</v>
      </c>
    </row>
    <row r="18" spans="1:32" x14ac:dyDescent="0.2">
      <c r="A18">
        <v>17</v>
      </c>
      <c r="B18">
        <v>1</v>
      </c>
      <c r="C18" t="s">
        <v>26</v>
      </c>
      <c r="D18" t="s">
        <v>29</v>
      </c>
      <c r="E18" t="s">
        <v>38</v>
      </c>
      <c r="F18" s="2">
        <v>0.46597222222222223</v>
      </c>
      <c r="G18" t="s">
        <v>30</v>
      </c>
      <c r="H18" t="s">
        <v>34</v>
      </c>
      <c r="I18" s="1" t="s">
        <v>39</v>
      </c>
      <c r="J18" s="3">
        <f>37-Table1[[#This Row],[OOS]]</f>
        <v>37</v>
      </c>
      <c r="K18">
        <v>0</v>
      </c>
      <c r="L18">
        <v>0</v>
      </c>
      <c r="M18">
        <v>30</v>
      </c>
      <c r="N18">
        <v>1</v>
      </c>
      <c r="O18">
        <v>3</v>
      </c>
      <c r="P18">
        <v>2</v>
      </c>
      <c r="Q18">
        <v>1</v>
      </c>
      <c r="R18">
        <v>0</v>
      </c>
      <c r="S18">
        <v>0</v>
      </c>
      <c r="T18">
        <v>0</v>
      </c>
      <c r="U18">
        <v>0</v>
      </c>
      <c r="V18">
        <v>0</v>
      </c>
      <c r="W18">
        <v>0</v>
      </c>
      <c r="X18">
        <v>0</v>
      </c>
      <c r="AB18" s="1">
        <f t="shared" si="0"/>
        <v>37</v>
      </c>
      <c r="AC18">
        <v>36</v>
      </c>
      <c r="AD18">
        <v>3</v>
      </c>
      <c r="AE18">
        <v>0</v>
      </c>
    </row>
    <row r="19" spans="1:32" x14ac:dyDescent="0.2">
      <c r="A19">
        <v>18</v>
      </c>
      <c r="B19">
        <v>1</v>
      </c>
      <c r="C19" t="s">
        <v>26</v>
      </c>
      <c r="D19" t="s">
        <v>29</v>
      </c>
      <c r="E19" t="s">
        <v>38</v>
      </c>
      <c r="F19" s="2">
        <v>0.46805555555555556</v>
      </c>
      <c r="G19" t="s">
        <v>33</v>
      </c>
      <c r="H19" t="s">
        <v>34</v>
      </c>
      <c r="I19" s="1" t="s">
        <v>39</v>
      </c>
      <c r="J19" s="3">
        <f>37-Table1[[#This Row],[OOS]]</f>
        <v>37</v>
      </c>
      <c r="K19">
        <v>0</v>
      </c>
      <c r="L19">
        <v>0</v>
      </c>
      <c r="M19">
        <v>36</v>
      </c>
      <c r="N19">
        <v>0</v>
      </c>
      <c r="O19">
        <v>1</v>
      </c>
      <c r="P19">
        <v>0</v>
      </c>
      <c r="Q19">
        <v>0</v>
      </c>
      <c r="R19">
        <v>0</v>
      </c>
      <c r="S19">
        <v>0</v>
      </c>
      <c r="T19">
        <v>0</v>
      </c>
      <c r="U19">
        <v>0</v>
      </c>
      <c r="V19">
        <v>0</v>
      </c>
      <c r="W19">
        <v>0</v>
      </c>
      <c r="X19">
        <v>0</v>
      </c>
      <c r="AB19" s="1">
        <f t="shared" si="0"/>
        <v>37</v>
      </c>
      <c r="AC19">
        <v>31</v>
      </c>
      <c r="AD19">
        <v>1</v>
      </c>
      <c r="AE19">
        <v>0</v>
      </c>
    </row>
    <row r="20" spans="1:32" x14ac:dyDescent="0.2">
      <c r="A20">
        <v>19</v>
      </c>
      <c r="B20">
        <v>1</v>
      </c>
      <c r="C20" t="s">
        <v>26</v>
      </c>
      <c r="D20" t="s">
        <v>29</v>
      </c>
      <c r="E20" t="s">
        <v>38</v>
      </c>
      <c r="F20" s="2">
        <v>0.47916666666666669</v>
      </c>
      <c r="G20" t="s">
        <v>30</v>
      </c>
      <c r="H20" t="s">
        <v>31</v>
      </c>
      <c r="I20" s="1" t="s">
        <v>32</v>
      </c>
      <c r="J20" s="3">
        <f>37-Table1[[#This Row],[OOS]]</f>
        <v>37</v>
      </c>
      <c r="K20">
        <v>35</v>
      </c>
      <c r="L20">
        <v>0</v>
      </c>
      <c r="M20">
        <v>0</v>
      </c>
      <c r="N20">
        <v>0</v>
      </c>
      <c r="O20">
        <v>0</v>
      </c>
      <c r="P20">
        <v>2</v>
      </c>
      <c r="Q20">
        <v>0</v>
      </c>
      <c r="R20">
        <v>0</v>
      </c>
      <c r="S20">
        <v>0</v>
      </c>
      <c r="T20">
        <v>0</v>
      </c>
      <c r="U20">
        <v>0</v>
      </c>
      <c r="V20">
        <v>0</v>
      </c>
      <c r="W20">
        <v>0</v>
      </c>
      <c r="X20">
        <v>0</v>
      </c>
      <c r="AB20" s="1">
        <f t="shared" si="0"/>
        <v>37</v>
      </c>
      <c r="AC20">
        <v>33</v>
      </c>
      <c r="AD20">
        <v>0</v>
      </c>
      <c r="AE20">
        <v>0</v>
      </c>
    </row>
    <row r="21" spans="1:32" x14ac:dyDescent="0.2">
      <c r="A21">
        <v>20</v>
      </c>
      <c r="B21">
        <v>1</v>
      </c>
      <c r="C21" t="s">
        <v>26</v>
      </c>
      <c r="D21" t="s">
        <v>29</v>
      </c>
      <c r="E21" t="s">
        <v>38</v>
      </c>
      <c r="F21" s="2">
        <v>0.48402777777777778</v>
      </c>
      <c r="G21" t="s">
        <v>33</v>
      </c>
      <c r="H21" t="s">
        <v>31</v>
      </c>
      <c r="I21" s="1" t="s">
        <v>32</v>
      </c>
      <c r="J21" s="3">
        <f>37-Table1[[#This Row],[OOS]]</f>
        <v>37</v>
      </c>
      <c r="K21">
        <v>34</v>
      </c>
      <c r="L21">
        <v>0</v>
      </c>
      <c r="M21">
        <v>0</v>
      </c>
      <c r="N21">
        <v>0</v>
      </c>
      <c r="O21">
        <v>0</v>
      </c>
      <c r="P21">
        <v>3</v>
      </c>
      <c r="Q21">
        <v>0</v>
      </c>
      <c r="R21">
        <v>0</v>
      </c>
      <c r="S21">
        <v>0</v>
      </c>
      <c r="T21">
        <v>0</v>
      </c>
      <c r="U21">
        <v>0</v>
      </c>
      <c r="V21">
        <v>0</v>
      </c>
      <c r="W21">
        <v>0</v>
      </c>
      <c r="X21">
        <v>0</v>
      </c>
      <c r="AB21" s="1">
        <f t="shared" si="0"/>
        <v>37</v>
      </c>
      <c r="AC21">
        <v>26</v>
      </c>
      <c r="AD21">
        <v>0</v>
      </c>
      <c r="AE21">
        <v>0</v>
      </c>
    </row>
    <row r="22" spans="1:32" x14ac:dyDescent="0.2">
      <c r="A22">
        <v>21</v>
      </c>
      <c r="B22">
        <v>1</v>
      </c>
      <c r="C22" t="s">
        <v>26</v>
      </c>
      <c r="D22" t="s">
        <v>29</v>
      </c>
      <c r="E22" t="s">
        <v>37</v>
      </c>
      <c r="F22" s="2">
        <v>0.48749999999999999</v>
      </c>
      <c r="G22" t="s">
        <v>30</v>
      </c>
      <c r="H22" t="s">
        <v>31</v>
      </c>
      <c r="I22" s="1" t="s">
        <v>32</v>
      </c>
      <c r="J22" s="3">
        <f>37-Table1[[#This Row],[OOS]]</f>
        <v>37</v>
      </c>
      <c r="K22">
        <v>36</v>
      </c>
      <c r="L22">
        <v>0</v>
      </c>
      <c r="M22">
        <v>0</v>
      </c>
      <c r="N22">
        <v>0</v>
      </c>
      <c r="O22">
        <v>0</v>
      </c>
      <c r="P22">
        <v>1</v>
      </c>
      <c r="Q22">
        <v>0</v>
      </c>
      <c r="R22">
        <v>0</v>
      </c>
      <c r="S22">
        <v>0</v>
      </c>
      <c r="T22">
        <v>0</v>
      </c>
      <c r="U22">
        <v>0</v>
      </c>
      <c r="V22">
        <v>0</v>
      </c>
      <c r="W22">
        <v>0</v>
      </c>
      <c r="X22">
        <v>0</v>
      </c>
      <c r="AB22" s="1">
        <f t="shared" si="0"/>
        <v>37</v>
      </c>
      <c r="AC22">
        <v>29</v>
      </c>
      <c r="AD22">
        <v>1</v>
      </c>
      <c r="AE22">
        <v>0</v>
      </c>
    </row>
    <row r="23" spans="1:32" x14ac:dyDescent="0.2">
      <c r="A23">
        <v>22</v>
      </c>
      <c r="B23">
        <v>1</v>
      </c>
      <c r="C23" t="s">
        <v>26</v>
      </c>
      <c r="D23" t="s">
        <v>29</v>
      </c>
      <c r="E23" t="s">
        <v>37</v>
      </c>
      <c r="F23" s="2">
        <v>0.49027777777777776</v>
      </c>
      <c r="G23" t="s">
        <v>33</v>
      </c>
      <c r="H23" t="s">
        <v>31</v>
      </c>
      <c r="I23" s="1" t="s">
        <v>32</v>
      </c>
      <c r="J23" s="3">
        <f>37-Table1[[#This Row],[OOS]]</f>
        <v>37</v>
      </c>
      <c r="K23">
        <v>27</v>
      </c>
      <c r="L23">
        <v>0</v>
      </c>
      <c r="M23">
        <v>0</v>
      </c>
      <c r="N23">
        <v>0</v>
      </c>
      <c r="O23">
        <v>3</v>
      </c>
      <c r="P23">
        <v>0</v>
      </c>
      <c r="Q23">
        <v>0</v>
      </c>
      <c r="R23">
        <v>0</v>
      </c>
      <c r="S23">
        <v>0</v>
      </c>
      <c r="T23">
        <v>0</v>
      </c>
      <c r="U23">
        <v>1</v>
      </c>
      <c r="V23">
        <v>0</v>
      </c>
      <c r="W23">
        <v>0</v>
      </c>
      <c r="X23">
        <v>6</v>
      </c>
      <c r="AB23" s="1">
        <f t="shared" si="0"/>
        <v>37</v>
      </c>
      <c r="AC23">
        <v>17</v>
      </c>
      <c r="AD23">
        <v>3</v>
      </c>
      <c r="AE23">
        <v>1</v>
      </c>
    </row>
    <row r="24" spans="1:32" x14ac:dyDescent="0.2">
      <c r="A24">
        <v>23</v>
      </c>
      <c r="B24">
        <v>1</v>
      </c>
      <c r="C24" t="s">
        <v>26</v>
      </c>
      <c r="D24" t="s">
        <v>29</v>
      </c>
      <c r="E24" t="s">
        <v>36</v>
      </c>
      <c r="F24" s="2">
        <v>0.49583333333333335</v>
      </c>
      <c r="G24" t="s">
        <v>33</v>
      </c>
      <c r="H24" t="s">
        <v>34</v>
      </c>
      <c r="I24" s="1" t="s">
        <v>32</v>
      </c>
      <c r="J24" s="3">
        <f>37-Table1[[#This Row],[OOS]]</f>
        <v>29</v>
      </c>
      <c r="K24">
        <v>0</v>
      </c>
      <c r="L24">
        <v>0</v>
      </c>
      <c r="M24">
        <v>28</v>
      </c>
      <c r="N24">
        <v>0</v>
      </c>
      <c r="O24">
        <v>1</v>
      </c>
      <c r="P24">
        <v>0</v>
      </c>
      <c r="Q24">
        <v>0</v>
      </c>
      <c r="R24">
        <v>0</v>
      </c>
      <c r="S24">
        <v>8</v>
      </c>
      <c r="T24">
        <v>0</v>
      </c>
      <c r="U24">
        <v>0</v>
      </c>
      <c r="V24">
        <v>0</v>
      </c>
      <c r="W24">
        <v>0</v>
      </c>
      <c r="X24">
        <v>0</v>
      </c>
      <c r="AB24" s="1">
        <f t="shared" si="0"/>
        <v>37</v>
      </c>
      <c r="AC24">
        <v>29</v>
      </c>
      <c r="AD24">
        <v>1</v>
      </c>
      <c r="AE24">
        <v>0</v>
      </c>
      <c r="AF24" t="s">
        <v>41</v>
      </c>
    </row>
    <row r="25" spans="1:32" x14ac:dyDescent="0.2">
      <c r="A25">
        <v>24</v>
      </c>
      <c r="B25">
        <v>1</v>
      </c>
      <c r="C25" t="s">
        <v>26</v>
      </c>
      <c r="D25" t="s">
        <v>29</v>
      </c>
      <c r="E25" t="s">
        <v>36</v>
      </c>
      <c r="F25" s="2">
        <v>0.49861111111111112</v>
      </c>
      <c r="G25" t="s">
        <v>30</v>
      </c>
      <c r="H25" t="s">
        <v>31</v>
      </c>
      <c r="I25" s="1" t="s">
        <v>32</v>
      </c>
      <c r="J25" s="3">
        <f>37-Table1[[#This Row],[OOS]]</f>
        <v>37</v>
      </c>
      <c r="K25">
        <v>32</v>
      </c>
      <c r="L25">
        <v>0</v>
      </c>
      <c r="M25">
        <v>0</v>
      </c>
      <c r="N25">
        <v>0</v>
      </c>
      <c r="O25">
        <v>3</v>
      </c>
      <c r="P25">
        <v>0</v>
      </c>
      <c r="Q25">
        <v>0</v>
      </c>
      <c r="R25">
        <v>0</v>
      </c>
      <c r="S25">
        <v>0</v>
      </c>
      <c r="T25">
        <v>0</v>
      </c>
      <c r="U25">
        <v>0</v>
      </c>
      <c r="V25">
        <v>0</v>
      </c>
      <c r="W25">
        <v>0</v>
      </c>
      <c r="X25">
        <v>2</v>
      </c>
      <c r="AB25" s="1">
        <f t="shared" si="0"/>
        <v>37</v>
      </c>
      <c r="AC25">
        <v>27</v>
      </c>
      <c r="AD25">
        <v>0</v>
      </c>
      <c r="AE25">
        <v>0</v>
      </c>
    </row>
    <row r="26" spans="1:32" x14ac:dyDescent="0.2">
      <c r="A26">
        <v>25</v>
      </c>
      <c r="B26">
        <v>1</v>
      </c>
      <c r="C26" t="s">
        <v>27</v>
      </c>
      <c r="D26" t="s">
        <v>29</v>
      </c>
      <c r="E26" t="s">
        <v>38</v>
      </c>
      <c r="F26" s="2">
        <v>0.57152777777777775</v>
      </c>
      <c r="G26" t="s">
        <v>30</v>
      </c>
      <c r="H26" t="s">
        <v>31</v>
      </c>
      <c r="I26" s="1" t="s">
        <v>32</v>
      </c>
      <c r="J26" s="3">
        <f>37-Table1[[#This Row],[OOS]]</f>
        <v>36</v>
      </c>
      <c r="K26">
        <v>32</v>
      </c>
      <c r="L26">
        <v>0</v>
      </c>
      <c r="M26">
        <v>0</v>
      </c>
      <c r="N26">
        <v>0</v>
      </c>
      <c r="O26">
        <v>0</v>
      </c>
      <c r="P26">
        <v>4</v>
      </c>
      <c r="Q26">
        <v>0</v>
      </c>
      <c r="R26">
        <v>0</v>
      </c>
      <c r="S26">
        <v>1</v>
      </c>
      <c r="T26">
        <v>0</v>
      </c>
      <c r="U26">
        <v>0</v>
      </c>
      <c r="V26">
        <v>0</v>
      </c>
      <c r="W26">
        <v>0</v>
      </c>
      <c r="X26">
        <v>0</v>
      </c>
      <c r="AB26" s="1">
        <f t="shared" si="0"/>
        <v>37</v>
      </c>
      <c r="AC26">
        <v>13</v>
      </c>
      <c r="AD26">
        <v>0</v>
      </c>
      <c r="AE26">
        <v>0</v>
      </c>
    </row>
    <row r="27" spans="1:32" x14ac:dyDescent="0.2">
      <c r="A27">
        <v>26</v>
      </c>
      <c r="B27">
        <v>1</v>
      </c>
      <c r="C27" t="s">
        <v>27</v>
      </c>
      <c r="D27" t="s">
        <v>29</v>
      </c>
      <c r="E27" t="s">
        <v>38</v>
      </c>
      <c r="F27" s="2">
        <v>0.57361111111111107</v>
      </c>
      <c r="G27" t="s">
        <v>33</v>
      </c>
      <c r="H27" t="s">
        <v>34</v>
      </c>
      <c r="I27" s="1" t="s">
        <v>32</v>
      </c>
      <c r="J27" s="3">
        <f>37-Table1[[#This Row],[OOS]]</f>
        <v>37</v>
      </c>
      <c r="K27">
        <v>0</v>
      </c>
      <c r="L27">
        <v>0</v>
      </c>
      <c r="M27">
        <v>8</v>
      </c>
      <c r="N27">
        <v>7</v>
      </c>
      <c r="O27">
        <v>6</v>
      </c>
      <c r="P27">
        <v>0</v>
      </c>
      <c r="Q27">
        <v>4</v>
      </c>
      <c r="R27">
        <v>11</v>
      </c>
      <c r="S27">
        <v>0</v>
      </c>
      <c r="T27">
        <v>0</v>
      </c>
      <c r="U27">
        <v>0</v>
      </c>
      <c r="V27">
        <v>0</v>
      </c>
      <c r="W27">
        <v>0</v>
      </c>
      <c r="X27">
        <v>0</v>
      </c>
      <c r="Y27">
        <v>1</v>
      </c>
      <c r="AB27" s="1">
        <f t="shared" si="0"/>
        <v>37</v>
      </c>
      <c r="AC27">
        <v>26</v>
      </c>
      <c r="AD27">
        <v>3</v>
      </c>
      <c r="AE27">
        <v>0</v>
      </c>
    </row>
    <row r="28" spans="1:32" x14ac:dyDescent="0.2">
      <c r="A28">
        <v>27</v>
      </c>
      <c r="B28">
        <v>1</v>
      </c>
      <c r="C28" t="s">
        <v>27</v>
      </c>
      <c r="D28" t="s">
        <v>29</v>
      </c>
      <c r="E28" t="s">
        <v>38</v>
      </c>
      <c r="F28" s="2">
        <v>0.57847222222222228</v>
      </c>
      <c r="G28" t="s">
        <v>33</v>
      </c>
      <c r="H28" t="s">
        <v>34</v>
      </c>
      <c r="I28" s="1" t="s">
        <v>39</v>
      </c>
      <c r="J28" s="3">
        <f>37-Table1[[#This Row],[OOS]]</f>
        <v>36</v>
      </c>
      <c r="K28">
        <v>0</v>
      </c>
      <c r="L28">
        <v>0</v>
      </c>
      <c r="M28">
        <v>16</v>
      </c>
      <c r="N28">
        <v>15</v>
      </c>
      <c r="O28">
        <v>3</v>
      </c>
      <c r="P28">
        <v>0</v>
      </c>
      <c r="Q28">
        <v>2</v>
      </c>
      <c r="R28">
        <v>0</v>
      </c>
      <c r="S28">
        <v>1</v>
      </c>
      <c r="T28">
        <v>0</v>
      </c>
      <c r="U28">
        <v>0</v>
      </c>
      <c r="V28">
        <v>0</v>
      </c>
      <c r="W28">
        <v>0</v>
      </c>
      <c r="X28">
        <v>0</v>
      </c>
      <c r="AB28" s="1">
        <f t="shared" si="0"/>
        <v>37</v>
      </c>
      <c r="AC28">
        <v>32</v>
      </c>
      <c r="AD28">
        <v>6</v>
      </c>
      <c r="AE28">
        <v>0</v>
      </c>
    </row>
    <row r="29" spans="1:32" x14ac:dyDescent="0.2">
      <c r="A29">
        <v>28</v>
      </c>
      <c r="B29">
        <v>1</v>
      </c>
      <c r="C29" t="s">
        <v>27</v>
      </c>
      <c r="D29" t="s">
        <v>29</v>
      </c>
      <c r="E29" t="s">
        <v>38</v>
      </c>
      <c r="F29" s="2">
        <v>0.5805555555555556</v>
      </c>
      <c r="G29" t="s">
        <v>30</v>
      </c>
      <c r="H29" t="s">
        <v>34</v>
      </c>
      <c r="I29" s="1" t="s">
        <v>39</v>
      </c>
      <c r="J29" s="3">
        <f>37-Table1[[#This Row],[OOS]]</f>
        <v>37</v>
      </c>
      <c r="K29">
        <v>0</v>
      </c>
      <c r="L29">
        <v>0</v>
      </c>
      <c r="M29">
        <v>37</v>
      </c>
      <c r="N29">
        <v>0</v>
      </c>
      <c r="O29">
        <v>0</v>
      </c>
      <c r="P29">
        <v>0</v>
      </c>
      <c r="Q29">
        <v>0</v>
      </c>
      <c r="R29">
        <v>0</v>
      </c>
      <c r="S29">
        <v>0</v>
      </c>
      <c r="T29">
        <v>0</v>
      </c>
      <c r="U29">
        <v>0</v>
      </c>
      <c r="V29">
        <v>0</v>
      </c>
      <c r="W29">
        <v>0</v>
      </c>
      <c r="X29">
        <v>0</v>
      </c>
      <c r="AB29" s="1">
        <f t="shared" si="0"/>
        <v>37</v>
      </c>
      <c r="AC29">
        <v>28</v>
      </c>
      <c r="AD29">
        <v>2</v>
      </c>
      <c r="AE29">
        <v>0</v>
      </c>
    </row>
    <row r="30" spans="1:32" x14ac:dyDescent="0.2">
      <c r="A30">
        <v>29</v>
      </c>
      <c r="B30">
        <v>1</v>
      </c>
      <c r="C30" t="s">
        <v>27</v>
      </c>
      <c r="D30" t="s">
        <v>29</v>
      </c>
      <c r="E30" t="s">
        <v>37</v>
      </c>
      <c r="F30" s="2">
        <v>0.58472222222222225</v>
      </c>
      <c r="G30" t="s">
        <v>30</v>
      </c>
      <c r="H30" t="s">
        <v>31</v>
      </c>
      <c r="I30" s="1" t="s">
        <v>32</v>
      </c>
      <c r="J30" s="3">
        <f>37-Table1[[#This Row],[OOS]]</f>
        <v>37</v>
      </c>
      <c r="K30">
        <v>35</v>
      </c>
      <c r="L30">
        <v>0</v>
      </c>
      <c r="M30">
        <v>0</v>
      </c>
      <c r="N30">
        <v>0</v>
      </c>
      <c r="O30">
        <v>0</v>
      </c>
      <c r="P30">
        <v>2</v>
      </c>
      <c r="Q30">
        <v>0</v>
      </c>
      <c r="R30">
        <v>0</v>
      </c>
      <c r="S30">
        <v>0</v>
      </c>
      <c r="T30">
        <v>0</v>
      </c>
      <c r="U30">
        <v>0</v>
      </c>
      <c r="V30">
        <v>0</v>
      </c>
      <c r="W30">
        <v>0</v>
      </c>
      <c r="X30">
        <v>0</v>
      </c>
      <c r="AB30" s="1">
        <f t="shared" si="0"/>
        <v>37</v>
      </c>
      <c r="AC30">
        <v>21</v>
      </c>
      <c r="AD30">
        <v>0</v>
      </c>
      <c r="AE30">
        <v>0</v>
      </c>
    </row>
    <row r="31" spans="1:32" x14ac:dyDescent="0.2">
      <c r="A31">
        <v>30</v>
      </c>
      <c r="B31">
        <v>1</v>
      </c>
      <c r="C31" t="s">
        <v>27</v>
      </c>
      <c r="D31" t="s">
        <v>29</v>
      </c>
      <c r="E31" t="s">
        <v>37</v>
      </c>
      <c r="F31" s="2">
        <v>0.58611111111111114</v>
      </c>
      <c r="G31" t="s">
        <v>33</v>
      </c>
      <c r="H31" t="s">
        <v>34</v>
      </c>
      <c r="I31" s="1" t="s">
        <v>32</v>
      </c>
      <c r="J31" s="3">
        <f>37-Table1[[#This Row],[OOS]]</f>
        <v>37</v>
      </c>
      <c r="K31">
        <v>0</v>
      </c>
      <c r="L31">
        <v>0</v>
      </c>
      <c r="M31">
        <v>33</v>
      </c>
      <c r="N31">
        <v>0</v>
      </c>
      <c r="O31">
        <v>4</v>
      </c>
      <c r="P31">
        <v>0</v>
      </c>
      <c r="Q31">
        <v>0</v>
      </c>
      <c r="R31">
        <v>0</v>
      </c>
      <c r="S31">
        <v>0</v>
      </c>
      <c r="T31">
        <v>0</v>
      </c>
      <c r="U31">
        <v>0</v>
      </c>
      <c r="V31">
        <v>0</v>
      </c>
      <c r="W31">
        <v>0</v>
      </c>
      <c r="X31">
        <v>0</v>
      </c>
      <c r="AB31" s="1">
        <f t="shared" si="0"/>
        <v>37</v>
      </c>
      <c r="AC31">
        <v>36</v>
      </c>
      <c r="AD31">
        <v>5</v>
      </c>
      <c r="AE31">
        <v>0</v>
      </c>
    </row>
    <row r="32" spans="1:32" x14ac:dyDescent="0.2">
      <c r="A32">
        <v>31</v>
      </c>
      <c r="B32">
        <v>1</v>
      </c>
      <c r="C32" t="s">
        <v>27</v>
      </c>
      <c r="D32" t="s">
        <v>29</v>
      </c>
      <c r="E32" t="s">
        <v>37</v>
      </c>
      <c r="F32" s="2">
        <v>0.58888888888888891</v>
      </c>
      <c r="G32" t="s">
        <v>30</v>
      </c>
      <c r="H32" t="s">
        <v>34</v>
      </c>
      <c r="I32" s="1" t="s">
        <v>39</v>
      </c>
      <c r="J32" s="3">
        <f>37-Table1[[#This Row],[OOS]]</f>
        <v>37</v>
      </c>
      <c r="K32">
        <v>0</v>
      </c>
      <c r="L32">
        <v>0</v>
      </c>
      <c r="M32">
        <v>27</v>
      </c>
      <c r="N32">
        <v>1</v>
      </c>
      <c r="O32">
        <v>7</v>
      </c>
      <c r="P32">
        <v>0</v>
      </c>
      <c r="Q32">
        <v>2</v>
      </c>
      <c r="R32">
        <v>0</v>
      </c>
      <c r="S32">
        <v>0</v>
      </c>
      <c r="T32">
        <v>0</v>
      </c>
      <c r="U32">
        <v>0</v>
      </c>
      <c r="V32">
        <v>0</v>
      </c>
      <c r="W32">
        <v>0</v>
      </c>
      <c r="X32">
        <v>0</v>
      </c>
      <c r="AB32" s="1">
        <f t="shared" si="0"/>
        <v>37</v>
      </c>
      <c r="AC32">
        <v>27</v>
      </c>
      <c r="AD32">
        <v>6</v>
      </c>
      <c r="AE32">
        <v>0</v>
      </c>
    </row>
    <row r="33" spans="1:31" x14ac:dyDescent="0.2">
      <c r="A33">
        <v>32</v>
      </c>
      <c r="B33">
        <v>1</v>
      </c>
      <c r="C33" t="s">
        <v>27</v>
      </c>
      <c r="D33" t="s">
        <v>29</v>
      </c>
      <c r="E33" t="s">
        <v>37</v>
      </c>
      <c r="F33" s="2">
        <v>0.59236111111111112</v>
      </c>
      <c r="G33" t="s">
        <v>33</v>
      </c>
      <c r="H33" t="s">
        <v>34</v>
      </c>
      <c r="I33" s="1" t="s">
        <v>39</v>
      </c>
      <c r="J33" s="3">
        <f>37-Table1[[#This Row],[OOS]]</f>
        <v>37</v>
      </c>
      <c r="K33">
        <v>0</v>
      </c>
      <c r="L33">
        <v>0</v>
      </c>
      <c r="M33">
        <v>25</v>
      </c>
      <c r="N33">
        <v>0</v>
      </c>
      <c r="O33">
        <v>1</v>
      </c>
      <c r="P33">
        <v>0</v>
      </c>
      <c r="Q33">
        <v>0</v>
      </c>
      <c r="R33">
        <v>0</v>
      </c>
      <c r="S33">
        <v>0</v>
      </c>
      <c r="T33">
        <v>0</v>
      </c>
      <c r="U33">
        <v>4</v>
      </c>
      <c r="V33">
        <v>0</v>
      </c>
      <c r="W33">
        <v>0</v>
      </c>
      <c r="X33">
        <v>7</v>
      </c>
      <c r="AB33" s="1">
        <f t="shared" si="0"/>
        <v>37</v>
      </c>
      <c r="AC33">
        <v>20</v>
      </c>
      <c r="AD33">
        <v>2</v>
      </c>
      <c r="AE33">
        <v>0</v>
      </c>
    </row>
    <row r="34" spans="1:31" x14ac:dyDescent="0.2">
      <c r="A34">
        <v>33</v>
      </c>
      <c r="B34">
        <v>1</v>
      </c>
      <c r="C34" t="s">
        <v>27</v>
      </c>
      <c r="D34" t="s">
        <v>29</v>
      </c>
      <c r="E34" t="s">
        <v>36</v>
      </c>
      <c r="F34" s="2">
        <v>0.59791666666666665</v>
      </c>
      <c r="G34" t="s">
        <v>33</v>
      </c>
      <c r="H34" t="s">
        <v>34</v>
      </c>
      <c r="I34" s="1" t="s">
        <v>39</v>
      </c>
      <c r="J34" s="3">
        <f>37-Table1[[#This Row],[OOS]]</f>
        <v>22</v>
      </c>
      <c r="K34">
        <v>0</v>
      </c>
      <c r="L34">
        <v>0</v>
      </c>
      <c r="M34">
        <v>8</v>
      </c>
      <c r="N34">
        <v>9</v>
      </c>
      <c r="O34">
        <v>5</v>
      </c>
      <c r="P34">
        <v>0</v>
      </c>
      <c r="Q34">
        <v>0</v>
      </c>
      <c r="R34">
        <v>0</v>
      </c>
      <c r="S34">
        <v>15</v>
      </c>
      <c r="T34">
        <v>0</v>
      </c>
      <c r="U34">
        <v>0</v>
      </c>
      <c r="V34">
        <v>0</v>
      </c>
      <c r="W34">
        <v>0</v>
      </c>
      <c r="X34">
        <v>0</v>
      </c>
      <c r="AB34" s="1">
        <f t="shared" ref="AB34:AB65" si="1">SUM(K34:AA34)</f>
        <v>37</v>
      </c>
      <c r="AC34">
        <v>22</v>
      </c>
      <c r="AD34">
        <v>1</v>
      </c>
      <c r="AE34">
        <v>0</v>
      </c>
    </row>
    <row r="35" spans="1:31" x14ac:dyDescent="0.2">
      <c r="A35">
        <v>34</v>
      </c>
      <c r="B35">
        <v>1</v>
      </c>
      <c r="C35" t="s">
        <v>27</v>
      </c>
      <c r="D35" t="s">
        <v>29</v>
      </c>
      <c r="E35" t="s">
        <v>36</v>
      </c>
      <c r="F35" s="2">
        <v>0.6</v>
      </c>
      <c r="G35" t="s">
        <v>30</v>
      </c>
      <c r="H35" t="s">
        <v>34</v>
      </c>
      <c r="I35" s="1" t="s">
        <v>39</v>
      </c>
      <c r="J35" s="3">
        <f>37-Table1[[#This Row],[OOS]]</f>
        <v>16</v>
      </c>
      <c r="K35">
        <v>0</v>
      </c>
      <c r="L35">
        <v>0</v>
      </c>
      <c r="M35">
        <v>3</v>
      </c>
      <c r="N35">
        <v>8</v>
      </c>
      <c r="O35">
        <v>3</v>
      </c>
      <c r="P35">
        <v>0</v>
      </c>
      <c r="Q35">
        <v>2</v>
      </c>
      <c r="R35">
        <v>0</v>
      </c>
      <c r="S35">
        <v>21</v>
      </c>
      <c r="T35">
        <v>0</v>
      </c>
      <c r="U35">
        <v>0</v>
      </c>
      <c r="V35">
        <v>0</v>
      </c>
      <c r="W35">
        <v>0</v>
      </c>
      <c r="X35">
        <v>0</v>
      </c>
      <c r="AB35" s="1">
        <f t="shared" si="1"/>
        <v>37</v>
      </c>
      <c r="AC35">
        <v>19</v>
      </c>
      <c r="AD35">
        <v>2</v>
      </c>
      <c r="AE35">
        <v>0</v>
      </c>
    </row>
    <row r="36" spans="1:31" x14ac:dyDescent="0.2">
      <c r="A36">
        <v>35</v>
      </c>
      <c r="B36">
        <v>1</v>
      </c>
      <c r="C36" t="s">
        <v>27</v>
      </c>
      <c r="D36" t="s">
        <v>29</v>
      </c>
      <c r="E36" t="s">
        <v>36</v>
      </c>
      <c r="F36" s="2">
        <v>0.60486111111111107</v>
      </c>
      <c r="G36" t="s">
        <v>30</v>
      </c>
      <c r="H36" t="s">
        <v>31</v>
      </c>
      <c r="I36" s="1" t="s">
        <v>32</v>
      </c>
      <c r="J36" s="3">
        <f>37-Table1[[#This Row],[OOS]]</f>
        <v>35</v>
      </c>
      <c r="K36">
        <v>29</v>
      </c>
      <c r="L36">
        <v>0</v>
      </c>
      <c r="M36">
        <v>0</v>
      </c>
      <c r="N36">
        <v>0</v>
      </c>
      <c r="O36">
        <v>2</v>
      </c>
      <c r="P36">
        <v>2</v>
      </c>
      <c r="Q36">
        <v>0</v>
      </c>
      <c r="R36">
        <v>0</v>
      </c>
      <c r="S36">
        <v>2</v>
      </c>
      <c r="T36">
        <v>0</v>
      </c>
      <c r="U36">
        <v>0</v>
      </c>
      <c r="V36">
        <v>0</v>
      </c>
      <c r="W36">
        <v>0</v>
      </c>
      <c r="X36">
        <v>2</v>
      </c>
      <c r="AB36" s="1">
        <f t="shared" si="1"/>
        <v>37</v>
      </c>
      <c r="AC36">
        <v>33</v>
      </c>
      <c r="AD36">
        <v>0</v>
      </c>
      <c r="AE36">
        <v>0</v>
      </c>
    </row>
    <row r="37" spans="1:31" x14ac:dyDescent="0.2">
      <c r="A37">
        <v>36</v>
      </c>
      <c r="B37">
        <v>1</v>
      </c>
      <c r="C37" t="s">
        <v>27</v>
      </c>
      <c r="D37" t="s">
        <v>29</v>
      </c>
      <c r="E37" t="s">
        <v>36</v>
      </c>
      <c r="F37" s="2">
        <v>0.60833333333333328</v>
      </c>
      <c r="G37" t="s">
        <v>33</v>
      </c>
      <c r="H37" t="s">
        <v>34</v>
      </c>
      <c r="I37" s="1" t="s">
        <v>32</v>
      </c>
      <c r="J37" s="3">
        <f>37-Table1[[#This Row],[OOS]]</f>
        <v>37</v>
      </c>
      <c r="K37">
        <v>0</v>
      </c>
      <c r="L37">
        <v>0</v>
      </c>
      <c r="M37">
        <v>6</v>
      </c>
      <c r="N37">
        <v>10</v>
      </c>
      <c r="O37">
        <v>16</v>
      </c>
      <c r="P37">
        <v>0</v>
      </c>
      <c r="Q37">
        <v>0</v>
      </c>
      <c r="R37">
        <v>5</v>
      </c>
      <c r="S37">
        <v>0</v>
      </c>
      <c r="T37">
        <v>0</v>
      </c>
      <c r="U37">
        <v>0</v>
      </c>
      <c r="V37">
        <v>0</v>
      </c>
      <c r="W37">
        <v>0</v>
      </c>
      <c r="X37">
        <v>0</v>
      </c>
      <c r="AB37" s="1">
        <f t="shared" si="1"/>
        <v>37</v>
      </c>
      <c r="AC37">
        <v>65</v>
      </c>
      <c r="AD37">
        <v>4</v>
      </c>
      <c r="AE37">
        <v>0</v>
      </c>
    </row>
    <row r="38" spans="1:31" x14ac:dyDescent="0.2">
      <c r="A38">
        <v>37</v>
      </c>
      <c r="B38">
        <v>1</v>
      </c>
      <c r="C38" t="s">
        <v>28</v>
      </c>
      <c r="D38" t="s">
        <v>29</v>
      </c>
      <c r="E38" t="s">
        <v>36</v>
      </c>
      <c r="F38" s="2">
        <v>0.64097222222222228</v>
      </c>
      <c r="G38" t="s">
        <v>33</v>
      </c>
      <c r="H38" t="s">
        <v>34</v>
      </c>
      <c r="I38" s="1" t="s">
        <v>39</v>
      </c>
      <c r="J38" s="3">
        <f>37-Table1[[#This Row],[OOS]]</f>
        <v>34</v>
      </c>
      <c r="K38">
        <v>0</v>
      </c>
      <c r="L38">
        <v>0</v>
      </c>
      <c r="M38">
        <v>6</v>
      </c>
      <c r="N38">
        <v>7</v>
      </c>
      <c r="O38">
        <v>4</v>
      </c>
      <c r="P38">
        <v>0</v>
      </c>
      <c r="Q38">
        <v>0</v>
      </c>
      <c r="R38">
        <v>17</v>
      </c>
      <c r="S38">
        <v>3</v>
      </c>
      <c r="T38">
        <v>0</v>
      </c>
      <c r="U38">
        <v>0</v>
      </c>
      <c r="V38">
        <v>0</v>
      </c>
      <c r="W38">
        <v>0</v>
      </c>
      <c r="X38">
        <v>0</v>
      </c>
      <c r="AB38" s="1">
        <f t="shared" si="1"/>
        <v>37</v>
      </c>
      <c r="AC38">
        <v>38</v>
      </c>
      <c r="AD38">
        <v>2</v>
      </c>
      <c r="AE38">
        <v>0</v>
      </c>
    </row>
    <row r="39" spans="1:31" x14ac:dyDescent="0.2">
      <c r="A39">
        <v>38</v>
      </c>
      <c r="B39">
        <v>1</v>
      </c>
      <c r="C39" t="s">
        <v>28</v>
      </c>
      <c r="D39" t="s">
        <v>29</v>
      </c>
      <c r="E39" t="s">
        <v>36</v>
      </c>
      <c r="F39" s="2">
        <v>0.64375000000000004</v>
      </c>
      <c r="G39" t="s">
        <v>30</v>
      </c>
      <c r="H39" t="s">
        <v>34</v>
      </c>
      <c r="I39" s="1" t="s">
        <v>39</v>
      </c>
      <c r="J39" s="3">
        <f>37-Table1[[#This Row],[OOS]]</f>
        <v>37</v>
      </c>
      <c r="K39">
        <v>0</v>
      </c>
      <c r="L39">
        <v>0</v>
      </c>
      <c r="M39">
        <v>20</v>
      </c>
      <c r="N39">
        <v>3</v>
      </c>
      <c r="O39">
        <v>13</v>
      </c>
      <c r="P39">
        <v>0</v>
      </c>
      <c r="Q39">
        <v>1</v>
      </c>
      <c r="R39">
        <v>0</v>
      </c>
      <c r="S39">
        <v>0</v>
      </c>
      <c r="T39">
        <v>0</v>
      </c>
      <c r="U39">
        <v>0</v>
      </c>
      <c r="V39">
        <v>0</v>
      </c>
      <c r="W39">
        <v>0</v>
      </c>
      <c r="X39">
        <v>0</v>
      </c>
      <c r="AB39" s="1">
        <f t="shared" si="1"/>
        <v>37</v>
      </c>
      <c r="AC39">
        <v>37</v>
      </c>
      <c r="AD39">
        <v>14</v>
      </c>
      <c r="AE39">
        <v>0</v>
      </c>
    </row>
    <row r="40" spans="1:31" x14ac:dyDescent="0.2">
      <c r="A40">
        <v>39</v>
      </c>
      <c r="B40">
        <v>1</v>
      </c>
      <c r="C40" t="s">
        <v>28</v>
      </c>
      <c r="D40" t="s">
        <v>29</v>
      </c>
      <c r="E40" t="s">
        <v>36</v>
      </c>
      <c r="F40" s="2">
        <v>0.64722222222222225</v>
      </c>
      <c r="G40" t="s">
        <v>30</v>
      </c>
      <c r="H40" t="s">
        <v>31</v>
      </c>
      <c r="I40" s="1" t="s">
        <v>32</v>
      </c>
      <c r="J40" s="3">
        <f>37-Table1[[#This Row],[OOS]]</f>
        <v>35</v>
      </c>
      <c r="K40">
        <v>31</v>
      </c>
      <c r="L40">
        <v>0</v>
      </c>
      <c r="M40">
        <v>0</v>
      </c>
      <c r="N40">
        <v>0</v>
      </c>
      <c r="O40">
        <v>0</v>
      </c>
      <c r="P40">
        <v>4</v>
      </c>
      <c r="Q40">
        <v>0</v>
      </c>
      <c r="R40">
        <v>0</v>
      </c>
      <c r="S40">
        <v>2</v>
      </c>
      <c r="T40">
        <v>0</v>
      </c>
      <c r="U40">
        <v>0</v>
      </c>
      <c r="V40">
        <v>0</v>
      </c>
      <c r="W40">
        <v>0</v>
      </c>
      <c r="X40">
        <v>0</v>
      </c>
      <c r="AB40" s="1">
        <f t="shared" si="1"/>
        <v>37</v>
      </c>
      <c r="AC40">
        <v>33</v>
      </c>
      <c r="AD40">
        <v>0</v>
      </c>
      <c r="AE40">
        <v>0</v>
      </c>
    </row>
    <row r="41" spans="1:31" x14ac:dyDescent="0.2">
      <c r="A41">
        <v>40</v>
      </c>
      <c r="B41">
        <v>1</v>
      </c>
      <c r="C41" t="s">
        <v>28</v>
      </c>
      <c r="D41" t="s">
        <v>29</v>
      </c>
      <c r="E41" t="s">
        <v>36</v>
      </c>
      <c r="F41" s="2">
        <v>0.65</v>
      </c>
      <c r="G41" t="s">
        <v>33</v>
      </c>
      <c r="H41" t="s">
        <v>34</v>
      </c>
      <c r="I41" s="1" t="s">
        <v>32</v>
      </c>
      <c r="J41" s="3">
        <f>37-Table1[[#This Row],[OOS]]</f>
        <v>35</v>
      </c>
      <c r="K41">
        <v>0</v>
      </c>
      <c r="L41">
        <v>0</v>
      </c>
      <c r="M41">
        <v>15</v>
      </c>
      <c r="N41">
        <v>10</v>
      </c>
      <c r="O41">
        <v>4</v>
      </c>
      <c r="P41">
        <v>0</v>
      </c>
      <c r="Q41">
        <v>0</v>
      </c>
      <c r="R41">
        <v>6</v>
      </c>
      <c r="S41">
        <v>2</v>
      </c>
      <c r="T41">
        <v>0</v>
      </c>
      <c r="U41">
        <v>0</v>
      </c>
      <c r="V41">
        <v>0</v>
      </c>
      <c r="W41">
        <v>0</v>
      </c>
      <c r="X41">
        <v>0</v>
      </c>
      <c r="AB41" s="1">
        <f t="shared" si="1"/>
        <v>37</v>
      </c>
      <c r="AC41">
        <v>32</v>
      </c>
      <c r="AD41">
        <v>4</v>
      </c>
      <c r="AE41">
        <v>0</v>
      </c>
    </row>
    <row r="42" spans="1:31" x14ac:dyDescent="0.2">
      <c r="A42">
        <v>41</v>
      </c>
      <c r="B42">
        <v>1</v>
      </c>
      <c r="C42" t="s">
        <v>28</v>
      </c>
      <c r="D42" t="s">
        <v>29</v>
      </c>
      <c r="E42" t="s">
        <v>37</v>
      </c>
      <c r="F42" s="2">
        <v>0.65416666666666667</v>
      </c>
      <c r="G42" t="s">
        <v>33</v>
      </c>
      <c r="H42" t="s">
        <v>34</v>
      </c>
      <c r="I42" s="1" t="s">
        <v>39</v>
      </c>
      <c r="J42" s="3">
        <f>37-Table1[[#This Row],[OOS]]</f>
        <v>30</v>
      </c>
      <c r="K42">
        <v>0</v>
      </c>
      <c r="L42">
        <v>0</v>
      </c>
      <c r="M42">
        <v>13</v>
      </c>
      <c r="N42">
        <v>8</v>
      </c>
      <c r="O42">
        <v>0</v>
      </c>
      <c r="P42">
        <v>1</v>
      </c>
      <c r="Q42">
        <v>0</v>
      </c>
      <c r="R42">
        <v>0</v>
      </c>
      <c r="S42">
        <v>7</v>
      </c>
      <c r="T42">
        <v>0</v>
      </c>
      <c r="U42">
        <v>6</v>
      </c>
      <c r="V42">
        <v>2</v>
      </c>
      <c r="W42">
        <v>0</v>
      </c>
      <c r="X42">
        <v>0</v>
      </c>
      <c r="AB42" s="1">
        <f t="shared" si="1"/>
        <v>37</v>
      </c>
      <c r="AC42">
        <v>32</v>
      </c>
      <c r="AD42">
        <v>1</v>
      </c>
      <c r="AE42">
        <v>0</v>
      </c>
    </row>
    <row r="43" spans="1:31" x14ac:dyDescent="0.2">
      <c r="A43">
        <v>42</v>
      </c>
      <c r="B43">
        <v>1</v>
      </c>
      <c r="C43" t="s">
        <v>28</v>
      </c>
      <c r="D43" t="s">
        <v>29</v>
      </c>
      <c r="E43" t="s">
        <v>37</v>
      </c>
      <c r="F43" s="2">
        <v>0.65763888888888888</v>
      </c>
      <c r="G43" t="s">
        <v>30</v>
      </c>
      <c r="H43" t="s">
        <v>34</v>
      </c>
      <c r="I43" s="1" t="s">
        <v>39</v>
      </c>
      <c r="J43" s="3">
        <f>37-Table1[[#This Row],[OOS]]</f>
        <v>34</v>
      </c>
      <c r="K43">
        <v>0</v>
      </c>
      <c r="L43">
        <v>0</v>
      </c>
      <c r="M43">
        <v>16</v>
      </c>
      <c r="N43">
        <v>4</v>
      </c>
      <c r="O43">
        <v>3</v>
      </c>
      <c r="P43">
        <v>1</v>
      </c>
      <c r="Q43">
        <v>5</v>
      </c>
      <c r="R43">
        <v>0</v>
      </c>
      <c r="S43">
        <v>3</v>
      </c>
      <c r="T43">
        <v>1</v>
      </c>
      <c r="U43">
        <v>4</v>
      </c>
      <c r="V43">
        <v>0</v>
      </c>
      <c r="W43">
        <v>0</v>
      </c>
      <c r="X43">
        <v>0</v>
      </c>
      <c r="AB43" s="1">
        <f t="shared" si="1"/>
        <v>37</v>
      </c>
      <c r="AC43">
        <v>22</v>
      </c>
      <c r="AD43">
        <v>2</v>
      </c>
      <c r="AE43">
        <v>0</v>
      </c>
    </row>
    <row r="44" spans="1:31" x14ac:dyDescent="0.2">
      <c r="A44">
        <v>43</v>
      </c>
      <c r="B44">
        <v>1</v>
      </c>
      <c r="C44" t="s">
        <v>28</v>
      </c>
      <c r="D44" t="s">
        <v>29</v>
      </c>
      <c r="E44" t="s">
        <v>38</v>
      </c>
      <c r="F44" s="2">
        <v>0.66249999999999998</v>
      </c>
      <c r="G44" t="s">
        <v>30</v>
      </c>
      <c r="H44" t="s">
        <v>31</v>
      </c>
      <c r="I44" s="1" t="s">
        <v>32</v>
      </c>
      <c r="J44" s="3">
        <f>37-Table1[[#This Row],[OOS]]</f>
        <v>36</v>
      </c>
      <c r="K44">
        <v>35</v>
      </c>
      <c r="L44">
        <v>0</v>
      </c>
      <c r="M44">
        <v>0</v>
      </c>
      <c r="N44">
        <v>0</v>
      </c>
      <c r="O44">
        <v>0</v>
      </c>
      <c r="P44">
        <v>1</v>
      </c>
      <c r="Q44">
        <v>0</v>
      </c>
      <c r="R44">
        <v>0</v>
      </c>
      <c r="S44">
        <v>1</v>
      </c>
      <c r="T44">
        <v>0</v>
      </c>
      <c r="U44">
        <v>0</v>
      </c>
      <c r="V44">
        <v>0</v>
      </c>
      <c r="W44">
        <v>0</v>
      </c>
      <c r="X44">
        <v>0</v>
      </c>
      <c r="AB44" s="1">
        <f t="shared" si="1"/>
        <v>37</v>
      </c>
      <c r="AC44">
        <v>36</v>
      </c>
      <c r="AD44">
        <v>0</v>
      </c>
      <c r="AE44">
        <v>0</v>
      </c>
    </row>
    <row r="45" spans="1:31" x14ac:dyDescent="0.2">
      <c r="A45">
        <v>44</v>
      </c>
      <c r="B45">
        <v>1</v>
      </c>
      <c r="C45" t="s">
        <v>28</v>
      </c>
      <c r="D45" t="s">
        <v>29</v>
      </c>
      <c r="E45" t="s">
        <v>37</v>
      </c>
      <c r="F45" s="2">
        <v>0.66597222222222219</v>
      </c>
      <c r="G45" t="s">
        <v>33</v>
      </c>
      <c r="H45" t="s">
        <v>34</v>
      </c>
      <c r="I45" s="1" t="s">
        <v>32</v>
      </c>
      <c r="J45" s="3">
        <f>37-Table1[[#This Row],[OOS]]</f>
        <v>26</v>
      </c>
      <c r="K45">
        <v>0</v>
      </c>
      <c r="L45">
        <v>0</v>
      </c>
      <c r="M45">
        <v>0</v>
      </c>
      <c r="N45">
        <v>2</v>
      </c>
      <c r="O45">
        <v>4</v>
      </c>
      <c r="P45">
        <v>0</v>
      </c>
      <c r="Q45">
        <v>2</v>
      </c>
      <c r="R45">
        <v>6</v>
      </c>
      <c r="S45">
        <v>11</v>
      </c>
      <c r="T45">
        <v>0</v>
      </c>
      <c r="U45">
        <v>0</v>
      </c>
      <c r="V45">
        <v>12</v>
      </c>
      <c r="W45">
        <v>0</v>
      </c>
      <c r="X45">
        <v>0</v>
      </c>
      <c r="AB45" s="1">
        <f t="shared" si="1"/>
        <v>37</v>
      </c>
      <c r="AC45">
        <v>9</v>
      </c>
      <c r="AD45">
        <v>4</v>
      </c>
      <c r="AE45">
        <v>0</v>
      </c>
    </row>
    <row r="46" spans="1:31" x14ac:dyDescent="0.2">
      <c r="A46">
        <v>45</v>
      </c>
      <c r="B46">
        <v>1</v>
      </c>
      <c r="C46" t="s">
        <v>28</v>
      </c>
      <c r="D46" t="s">
        <v>29</v>
      </c>
      <c r="E46" t="s">
        <v>38</v>
      </c>
      <c r="F46" s="2">
        <v>0.67152777777777772</v>
      </c>
      <c r="G46" t="s">
        <v>30</v>
      </c>
      <c r="H46" t="s">
        <v>31</v>
      </c>
      <c r="I46" s="1" t="s">
        <v>32</v>
      </c>
      <c r="J46" s="3">
        <f>37-Table1[[#This Row],[OOS]]</f>
        <v>34</v>
      </c>
      <c r="K46">
        <v>32</v>
      </c>
      <c r="L46">
        <v>0</v>
      </c>
      <c r="M46">
        <v>0</v>
      </c>
      <c r="N46">
        <v>0</v>
      </c>
      <c r="O46">
        <v>2</v>
      </c>
      <c r="P46">
        <v>0</v>
      </c>
      <c r="Q46">
        <v>0</v>
      </c>
      <c r="R46">
        <v>0</v>
      </c>
      <c r="S46">
        <v>3</v>
      </c>
      <c r="T46">
        <v>0</v>
      </c>
      <c r="U46">
        <v>0</v>
      </c>
      <c r="V46">
        <v>0</v>
      </c>
      <c r="W46">
        <v>0</v>
      </c>
      <c r="X46">
        <v>0</v>
      </c>
      <c r="AB46" s="1">
        <f t="shared" si="1"/>
        <v>37</v>
      </c>
      <c r="AC46">
        <v>22</v>
      </c>
      <c r="AD46">
        <v>0</v>
      </c>
      <c r="AE46">
        <v>0</v>
      </c>
    </row>
    <row r="47" spans="1:31" x14ac:dyDescent="0.2">
      <c r="A47">
        <v>46</v>
      </c>
      <c r="B47">
        <v>1</v>
      </c>
      <c r="C47" t="s">
        <v>28</v>
      </c>
      <c r="D47" t="s">
        <v>29</v>
      </c>
      <c r="E47" t="s">
        <v>38</v>
      </c>
      <c r="F47" s="2">
        <v>0.67361111111111116</v>
      </c>
      <c r="G47" t="s">
        <v>33</v>
      </c>
      <c r="H47" t="s">
        <v>34</v>
      </c>
      <c r="I47" s="1" t="s">
        <v>32</v>
      </c>
      <c r="J47" s="3">
        <f>37-Table1[[#This Row],[OOS]]</f>
        <v>34</v>
      </c>
      <c r="K47">
        <v>0</v>
      </c>
      <c r="L47">
        <v>0</v>
      </c>
      <c r="M47">
        <v>6</v>
      </c>
      <c r="N47">
        <v>2</v>
      </c>
      <c r="O47">
        <v>0</v>
      </c>
      <c r="P47">
        <v>2</v>
      </c>
      <c r="Q47">
        <v>0</v>
      </c>
      <c r="R47">
        <v>11</v>
      </c>
      <c r="S47">
        <v>3</v>
      </c>
      <c r="T47">
        <v>0</v>
      </c>
      <c r="U47">
        <v>0</v>
      </c>
      <c r="V47">
        <v>13</v>
      </c>
      <c r="W47">
        <v>0</v>
      </c>
      <c r="X47">
        <v>0</v>
      </c>
      <c r="AB47" s="1">
        <f t="shared" si="1"/>
        <v>37</v>
      </c>
      <c r="AC47">
        <v>17</v>
      </c>
      <c r="AD47">
        <v>0</v>
      </c>
      <c r="AE47">
        <v>0</v>
      </c>
    </row>
    <row r="48" spans="1:31" x14ac:dyDescent="0.2">
      <c r="A48">
        <v>47</v>
      </c>
      <c r="B48">
        <v>1</v>
      </c>
      <c r="C48" t="s">
        <v>28</v>
      </c>
      <c r="D48" t="s">
        <v>29</v>
      </c>
      <c r="E48" t="s">
        <v>38</v>
      </c>
      <c r="F48" s="2">
        <v>0.67638888888888893</v>
      </c>
      <c r="G48" t="s">
        <v>33</v>
      </c>
      <c r="H48" t="s">
        <v>34</v>
      </c>
      <c r="I48" s="1" t="s">
        <v>39</v>
      </c>
      <c r="J48" s="3">
        <f>37-Table1[[#This Row],[OOS]]</f>
        <v>32</v>
      </c>
      <c r="K48">
        <v>0</v>
      </c>
      <c r="L48">
        <v>0</v>
      </c>
      <c r="M48">
        <v>27</v>
      </c>
      <c r="N48">
        <v>0</v>
      </c>
      <c r="O48">
        <v>1</v>
      </c>
      <c r="P48">
        <v>2</v>
      </c>
      <c r="Q48">
        <v>0</v>
      </c>
      <c r="R48">
        <v>0</v>
      </c>
      <c r="S48">
        <v>5</v>
      </c>
      <c r="T48">
        <v>0</v>
      </c>
      <c r="U48">
        <v>0</v>
      </c>
      <c r="V48">
        <v>2</v>
      </c>
      <c r="W48">
        <v>0</v>
      </c>
      <c r="X48">
        <v>0</v>
      </c>
      <c r="AB48" s="1">
        <f t="shared" si="1"/>
        <v>37</v>
      </c>
      <c r="AC48">
        <v>25</v>
      </c>
      <c r="AD48">
        <v>1</v>
      </c>
      <c r="AE48">
        <v>0</v>
      </c>
    </row>
    <row r="49" spans="1:32" x14ac:dyDescent="0.2">
      <c r="A49">
        <v>48</v>
      </c>
      <c r="B49">
        <v>1</v>
      </c>
      <c r="C49" t="s">
        <v>28</v>
      </c>
      <c r="D49" t="s">
        <v>29</v>
      </c>
      <c r="E49" t="s">
        <v>38</v>
      </c>
      <c r="F49" s="2">
        <v>0.67986111111111114</v>
      </c>
      <c r="G49" t="s">
        <v>30</v>
      </c>
      <c r="H49" t="s">
        <v>34</v>
      </c>
      <c r="I49" s="1" t="s">
        <v>39</v>
      </c>
      <c r="J49" s="3">
        <f>37-Table1[[#This Row],[OOS]]</f>
        <v>32</v>
      </c>
      <c r="K49">
        <v>0</v>
      </c>
      <c r="L49">
        <v>0</v>
      </c>
      <c r="M49">
        <v>24</v>
      </c>
      <c r="N49">
        <v>4</v>
      </c>
      <c r="O49">
        <v>3</v>
      </c>
      <c r="P49">
        <v>1</v>
      </c>
      <c r="Q49">
        <v>0</v>
      </c>
      <c r="R49">
        <v>0</v>
      </c>
      <c r="S49">
        <v>5</v>
      </c>
      <c r="T49">
        <v>0</v>
      </c>
      <c r="U49">
        <v>0</v>
      </c>
      <c r="V49">
        <v>0</v>
      </c>
      <c r="W49">
        <v>0</v>
      </c>
      <c r="X49">
        <v>0</v>
      </c>
      <c r="AB49" s="1">
        <f t="shared" si="1"/>
        <v>37</v>
      </c>
      <c r="AC49">
        <v>19</v>
      </c>
      <c r="AD49">
        <v>4</v>
      </c>
      <c r="AE49">
        <v>0</v>
      </c>
    </row>
    <row r="50" spans="1:32" x14ac:dyDescent="0.2">
      <c r="A50">
        <v>49</v>
      </c>
      <c r="B50">
        <v>2</v>
      </c>
      <c r="C50" t="s">
        <v>28</v>
      </c>
      <c r="D50" t="s">
        <v>29</v>
      </c>
      <c r="E50" t="s">
        <v>38</v>
      </c>
      <c r="F50" s="2">
        <v>0.37222222222222223</v>
      </c>
      <c r="G50" t="s">
        <v>30</v>
      </c>
      <c r="H50" t="s">
        <v>31</v>
      </c>
      <c r="I50" s="1" t="s">
        <v>32</v>
      </c>
      <c r="J50" s="3">
        <f>37-Table1[[#This Row],[OOS]]</f>
        <v>37</v>
      </c>
      <c r="K50">
        <v>36</v>
      </c>
      <c r="L50">
        <v>0</v>
      </c>
      <c r="M50">
        <v>0</v>
      </c>
      <c r="N50">
        <v>0</v>
      </c>
      <c r="O50">
        <v>0</v>
      </c>
      <c r="P50">
        <v>0</v>
      </c>
      <c r="Q50">
        <v>0</v>
      </c>
      <c r="R50">
        <v>0</v>
      </c>
      <c r="S50">
        <v>0</v>
      </c>
      <c r="T50">
        <v>0</v>
      </c>
      <c r="U50">
        <v>0</v>
      </c>
      <c r="V50">
        <v>0</v>
      </c>
      <c r="W50">
        <v>0</v>
      </c>
      <c r="X50">
        <v>1</v>
      </c>
      <c r="AB50" s="1">
        <f t="shared" si="1"/>
        <v>37</v>
      </c>
      <c r="AC50">
        <v>42</v>
      </c>
      <c r="AD50">
        <v>0</v>
      </c>
      <c r="AE50">
        <v>0</v>
      </c>
    </row>
    <row r="51" spans="1:32" x14ac:dyDescent="0.2">
      <c r="A51">
        <v>50</v>
      </c>
      <c r="B51">
        <v>2</v>
      </c>
      <c r="C51" t="s">
        <v>28</v>
      </c>
      <c r="D51" t="s">
        <v>29</v>
      </c>
      <c r="E51" t="s">
        <v>38</v>
      </c>
      <c r="F51" s="2">
        <v>0.375</v>
      </c>
      <c r="G51" t="s">
        <v>33</v>
      </c>
      <c r="H51" t="s">
        <v>34</v>
      </c>
      <c r="I51" s="1" t="s">
        <v>32</v>
      </c>
      <c r="J51" s="3">
        <f>37-Table1[[#This Row],[OOS]]</f>
        <v>36</v>
      </c>
      <c r="K51">
        <v>0</v>
      </c>
      <c r="L51">
        <v>0</v>
      </c>
      <c r="M51">
        <v>16</v>
      </c>
      <c r="N51">
        <v>4</v>
      </c>
      <c r="O51">
        <v>14</v>
      </c>
      <c r="P51">
        <v>0</v>
      </c>
      <c r="Q51">
        <v>1</v>
      </c>
      <c r="R51">
        <v>0</v>
      </c>
      <c r="S51">
        <v>1</v>
      </c>
      <c r="T51">
        <v>0</v>
      </c>
      <c r="U51">
        <v>1</v>
      </c>
      <c r="V51">
        <v>0</v>
      </c>
      <c r="W51">
        <v>0</v>
      </c>
      <c r="X51">
        <v>0</v>
      </c>
      <c r="AB51" s="1">
        <f t="shared" si="1"/>
        <v>37</v>
      </c>
      <c r="AC51">
        <v>29</v>
      </c>
      <c r="AD51">
        <v>15</v>
      </c>
      <c r="AE51">
        <v>1</v>
      </c>
    </row>
    <row r="52" spans="1:32" x14ac:dyDescent="0.2">
      <c r="A52">
        <v>51</v>
      </c>
      <c r="B52">
        <v>2</v>
      </c>
      <c r="C52" t="s">
        <v>28</v>
      </c>
      <c r="D52" t="s">
        <v>29</v>
      </c>
      <c r="E52" t="s">
        <v>38</v>
      </c>
      <c r="F52" s="2">
        <v>0.38055555555555554</v>
      </c>
      <c r="G52" t="s">
        <v>33</v>
      </c>
      <c r="H52" t="s">
        <v>34</v>
      </c>
      <c r="I52" s="1" t="s">
        <v>39</v>
      </c>
      <c r="J52" s="3">
        <f>37-Table1[[#This Row],[OOS]]</f>
        <v>34</v>
      </c>
      <c r="K52">
        <v>0</v>
      </c>
      <c r="L52">
        <v>0</v>
      </c>
      <c r="M52">
        <v>32</v>
      </c>
      <c r="N52">
        <v>2</v>
      </c>
      <c r="O52">
        <v>0</v>
      </c>
      <c r="P52">
        <v>0</v>
      </c>
      <c r="Q52">
        <v>0</v>
      </c>
      <c r="R52">
        <v>0</v>
      </c>
      <c r="S52">
        <v>3</v>
      </c>
      <c r="T52">
        <v>0</v>
      </c>
      <c r="U52">
        <v>0</v>
      </c>
      <c r="V52">
        <v>0</v>
      </c>
      <c r="W52">
        <v>0</v>
      </c>
      <c r="X52">
        <v>0</v>
      </c>
      <c r="AB52" s="1">
        <f t="shared" si="1"/>
        <v>37</v>
      </c>
      <c r="AC52">
        <v>35</v>
      </c>
      <c r="AD52">
        <v>6</v>
      </c>
      <c r="AE52">
        <v>0</v>
      </c>
    </row>
    <row r="53" spans="1:32" x14ac:dyDescent="0.2">
      <c r="A53">
        <v>52</v>
      </c>
      <c r="B53">
        <v>2</v>
      </c>
      <c r="C53" t="s">
        <v>28</v>
      </c>
      <c r="D53" t="s">
        <v>29</v>
      </c>
      <c r="E53" t="s">
        <v>38</v>
      </c>
      <c r="F53" s="2">
        <v>0.38263888888888886</v>
      </c>
      <c r="G53" t="s">
        <v>30</v>
      </c>
      <c r="H53" t="s">
        <v>34</v>
      </c>
      <c r="I53" s="1" t="s">
        <v>39</v>
      </c>
      <c r="J53" s="3">
        <f>37-Table1[[#This Row],[OOS]]</f>
        <v>35</v>
      </c>
      <c r="K53">
        <v>0</v>
      </c>
      <c r="L53">
        <v>0</v>
      </c>
      <c r="M53">
        <v>15</v>
      </c>
      <c r="N53">
        <v>2</v>
      </c>
      <c r="O53">
        <v>13</v>
      </c>
      <c r="P53">
        <v>1</v>
      </c>
      <c r="Q53">
        <v>4</v>
      </c>
      <c r="R53">
        <v>0</v>
      </c>
      <c r="S53">
        <v>2</v>
      </c>
      <c r="T53">
        <v>0</v>
      </c>
      <c r="U53">
        <v>0</v>
      </c>
      <c r="V53">
        <v>0</v>
      </c>
      <c r="W53">
        <v>0</v>
      </c>
      <c r="X53">
        <v>0</v>
      </c>
      <c r="AB53" s="1">
        <f t="shared" si="1"/>
        <v>37</v>
      </c>
      <c r="AC53">
        <v>16</v>
      </c>
      <c r="AD53">
        <v>5</v>
      </c>
      <c r="AE53">
        <v>0</v>
      </c>
    </row>
    <row r="54" spans="1:32" x14ac:dyDescent="0.2">
      <c r="A54">
        <v>53</v>
      </c>
      <c r="B54">
        <v>2</v>
      </c>
      <c r="C54" t="s">
        <v>28</v>
      </c>
      <c r="D54" t="s">
        <v>29</v>
      </c>
      <c r="E54" t="s">
        <v>37</v>
      </c>
      <c r="F54" s="2">
        <v>0.38680555555555557</v>
      </c>
      <c r="G54" t="s">
        <v>30</v>
      </c>
      <c r="H54" t="s">
        <v>31</v>
      </c>
      <c r="I54" s="1" t="s">
        <v>32</v>
      </c>
      <c r="J54" s="3">
        <f>37-Table1[[#This Row],[OOS]]</f>
        <v>37</v>
      </c>
      <c r="K54">
        <v>32</v>
      </c>
      <c r="L54">
        <v>2</v>
      </c>
      <c r="M54">
        <v>0</v>
      </c>
      <c r="N54">
        <v>0</v>
      </c>
      <c r="O54">
        <v>0</v>
      </c>
      <c r="P54">
        <v>0</v>
      </c>
      <c r="Q54">
        <v>0</v>
      </c>
      <c r="R54">
        <v>0</v>
      </c>
      <c r="S54">
        <v>0</v>
      </c>
      <c r="T54">
        <v>0</v>
      </c>
      <c r="U54">
        <v>0</v>
      </c>
      <c r="V54">
        <v>0</v>
      </c>
      <c r="W54">
        <v>0</v>
      </c>
      <c r="X54">
        <v>3</v>
      </c>
      <c r="AB54" s="1">
        <f t="shared" si="1"/>
        <v>37</v>
      </c>
      <c r="AC54">
        <v>48</v>
      </c>
      <c r="AD54">
        <v>0</v>
      </c>
      <c r="AE54">
        <v>0</v>
      </c>
    </row>
    <row r="55" spans="1:32" x14ac:dyDescent="0.2">
      <c r="A55">
        <v>54</v>
      </c>
      <c r="B55">
        <v>2</v>
      </c>
      <c r="C55" t="s">
        <v>28</v>
      </c>
      <c r="D55" t="s">
        <v>29</v>
      </c>
      <c r="E55" t="s">
        <v>37</v>
      </c>
      <c r="F55" s="2">
        <v>0.39027777777777778</v>
      </c>
      <c r="G55" t="s">
        <v>33</v>
      </c>
      <c r="H55" t="s">
        <v>31</v>
      </c>
      <c r="I55" s="1" t="s">
        <v>32</v>
      </c>
      <c r="J55" s="3">
        <f>37-Table1[[#This Row],[OOS]]</f>
        <v>37</v>
      </c>
      <c r="K55">
        <v>33</v>
      </c>
      <c r="L55">
        <v>0</v>
      </c>
      <c r="M55">
        <v>0</v>
      </c>
      <c r="N55">
        <v>0</v>
      </c>
      <c r="O55">
        <v>0</v>
      </c>
      <c r="P55">
        <v>4</v>
      </c>
      <c r="Q55">
        <v>0</v>
      </c>
      <c r="R55">
        <v>0</v>
      </c>
      <c r="S55">
        <v>0</v>
      </c>
      <c r="T55">
        <v>0</v>
      </c>
      <c r="U55">
        <v>0</v>
      </c>
      <c r="V55">
        <v>0</v>
      </c>
      <c r="W55">
        <v>0</v>
      </c>
      <c r="X55">
        <v>0</v>
      </c>
      <c r="AB55" s="1">
        <f t="shared" si="1"/>
        <v>37</v>
      </c>
      <c r="AC55">
        <v>47</v>
      </c>
      <c r="AD55">
        <v>0</v>
      </c>
      <c r="AE55">
        <v>0</v>
      </c>
    </row>
    <row r="56" spans="1:32" x14ac:dyDescent="0.2">
      <c r="A56">
        <v>55</v>
      </c>
      <c r="B56">
        <v>2</v>
      </c>
      <c r="C56" t="s">
        <v>28</v>
      </c>
      <c r="D56" t="s">
        <v>29</v>
      </c>
      <c r="E56" t="s">
        <v>37</v>
      </c>
      <c r="F56" s="2">
        <v>0.39374999999999999</v>
      </c>
      <c r="G56" t="s">
        <v>33</v>
      </c>
      <c r="H56" t="s">
        <v>34</v>
      </c>
      <c r="I56" s="1" t="s">
        <v>39</v>
      </c>
      <c r="J56" s="3">
        <f>37-Table1[[#This Row],[OOS]]</f>
        <v>37</v>
      </c>
      <c r="K56">
        <v>0</v>
      </c>
      <c r="L56">
        <v>0</v>
      </c>
      <c r="M56">
        <v>9</v>
      </c>
      <c r="N56">
        <v>16</v>
      </c>
      <c r="O56">
        <v>6</v>
      </c>
      <c r="P56">
        <v>1</v>
      </c>
      <c r="Q56">
        <v>1</v>
      </c>
      <c r="R56">
        <v>4</v>
      </c>
      <c r="S56">
        <v>0</v>
      </c>
      <c r="T56">
        <v>0</v>
      </c>
      <c r="U56">
        <v>0</v>
      </c>
      <c r="V56">
        <v>0</v>
      </c>
      <c r="W56">
        <v>0</v>
      </c>
      <c r="X56">
        <v>0</v>
      </c>
      <c r="AB56" s="1">
        <f t="shared" si="1"/>
        <v>37</v>
      </c>
      <c r="AC56">
        <v>43</v>
      </c>
      <c r="AD56">
        <v>7</v>
      </c>
      <c r="AE56">
        <v>0</v>
      </c>
    </row>
    <row r="57" spans="1:32" x14ac:dyDescent="0.2">
      <c r="A57">
        <v>56</v>
      </c>
      <c r="B57">
        <v>2</v>
      </c>
      <c r="C57" t="s">
        <v>28</v>
      </c>
      <c r="D57" t="s">
        <v>29</v>
      </c>
      <c r="E57" t="s">
        <v>37</v>
      </c>
      <c r="F57" s="2">
        <v>0.39652777777777776</v>
      </c>
      <c r="G57" t="s">
        <v>30</v>
      </c>
      <c r="H57" t="s">
        <v>34</v>
      </c>
      <c r="I57" s="1" t="s">
        <v>39</v>
      </c>
      <c r="J57" s="3">
        <f>37-Table1[[#This Row],[OOS]]</f>
        <v>26</v>
      </c>
      <c r="K57">
        <v>0</v>
      </c>
      <c r="L57">
        <v>0</v>
      </c>
      <c r="M57">
        <v>25</v>
      </c>
      <c r="N57">
        <v>1</v>
      </c>
      <c r="O57">
        <v>0</v>
      </c>
      <c r="P57">
        <v>0</v>
      </c>
      <c r="Q57">
        <v>0</v>
      </c>
      <c r="R57">
        <v>0</v>
      </c>
      <c r="S57">
        <v>11</v>
      </c>
      <c r="T57">
        <v>0</v>
      </c>
      <c r="U57">
        <v>0</v>
      </c>
      <c r="V57">
        <v>0</v>
      </c>
      <c r="W57">
        <v>0</v>
      </c>
      <c r="X57">
        <v>0</v>
      </c>
      <c r="AB57" s="1">
        <f t="shared" si="1"/>
        <v>37</v>
      </c>
      <c r="AC57">
        <v>36</v>
      </c>
      <c r="AD57">
        <v>1</v>
      </c>
      <c r="AE57">
        <v>0</v>
      </c>
    </row>
    <row r="58" spans="1:32" x14ac:dyDescent="0.2">
      <c r="A58">
        <v>57</v>
      </c>
      <c r="B58">
        <v>2</v>
      </c>
      <c r="C58" t="s">
        <v>28</v>
      </c>
      <c r="D58" t="s">
        <v>29</v>
      </c>
      <c r="E58" t="s">
        <v>36</v>
      </c>
      <c r="F58" s="2">
        <v>0.40069444444444446</v>
      </c>
      <c r="G58" t="s">
        <v>30</v>
      </c>
      <c r="H58" t="s">
        <v>31</v>
      </c>
      <c r="I58" s="1" t="s">
        <v>32</v>
      </c>
      <c r="J58" s="3">
        <f>37-Table1[[#This Row],[OOS]]</f>
        <v>36</v>
      </c>
      <c r="K58">
        <v>34</v>
      </c>
      <c r="L58">
        <v>0</v>
      </c>
      <c r="M58">
        <v>0</v>
      </c>
      <c r="N58">
        <v>0</v>
      </c>
      <c r="O58">
        <v>0</v>
      </c>
      <c r="P58">
        <v>2</v>
      </c>
      <c r="Q58">
        <v>0</v>
      </c>
      <c r="R58">
        <v>0</v>
      </c>
      <c r="S58">
        <v>1</v>
      </c>
      <c r="T58">
        <v>0</v>
      </c>
      <c r="U58">
        <v>0</v>
      </c>
      <c r="V58">
        <v>0</v>
      </c>
      <c r="W58">
        <v>0</v>
      </c>
      <c r="X58">
        <v>0</v>
      </c>
      <c r="AB58" s="1">
        <f t="shared" si="1"/>
        <v>37</v>
      </c>
      <c r="AC58">
        <v>57</v>
      </c>
      <c r="AD58">
        <v>0</v>
      </c>
      <c r="AE58">
        <v>0</v>
      </c>
    </row>
    <row r="59" spans="1:32" x14ac:dyDescent="0.2">
      <c r="A59">
        <v>58</v>
      </c>
      <c r="B59">
        <v>2</v>
      </c>
      <c r="C59" t="s">
        <v>28</v>
      </c>
      <c r="D59" t="s">
        <v>29</v>
      </c>
      <c r="E59" t="s">
        <v>36</v>
      </c>
      <c r="F59" s="2">
        <v>0.40416666666666667</v>
      </c>
      <c r="G59" t="s">
        <v>33</v>
      </c>
      <c r="H59" t="s">
        <v>31</v>
      </c>
      <c r="I59" s="1" t="s">
        <v>32</v>
      </c>
      <c r="J59" s="3">
        <f>37-Table1[[#This Row],[OOS]]</f>
        <v>37</v>
      </c>
      <c r="K59">
        <v>28</v>
      </c>
      <c r="L59">
        <v>0</v>
      </c>
      <c r="M59">
        <v>0</v>
      </c>
      <c r="N59">
        <v>0</v>
      </c>
      <c r="O59">
        <v>0</v>
      </c>
      <c r="P59">
        <v>7</v>
      </c>
      <c r="Q59">
        <v>0</v>
      </c>
      <c r="R59">
        <v>0</v>
      </c>
      <c r="S59">
        <v>0</v>
      </c>
      <c r="T59">
        <v>0</v>
      </c>
      <c r="U59">
        <v>0</v>
      </c>
      <c r="V59">
        <v>0</v>
      </c>
      <c r="W59">
        <v>0</v>
      </c>
      <c r="X59">
        <v>2</v>
      </c>
      <c r="AB59" s="1">
        <f t="shared" si="1"/>
        <v>37</v>
      </c>
      <c r="AC59">
        <v>32</v>
      </c>
      <c r="AD59">
        <v>0</v>
      </c>
      <c r="AE59">
        <v>0</v>
      </c>
    </row>
    <row r="60" spans="1:32" x14ac:dyDescent="0.2">
      <c r="A60">
        <v>59</v>
      </c>
      <c r="B60">
        <v>2</v>
      </c>
      <c r="C60" t="s">
        <v>28</v>
      </c>
      <c r="D60" t="s">
        <v>29</v>
      </c>
      <c r="E60" t="s">
        <v>36</v>
      </c>
      <c r="F60" s="2">
        <v>0.40833333333333333</v>
      </c>
      <c r="G60" t="s">
        <v>33</v>
      </c>
      <c r="H60" t="s">
        <v>34</v>
      </c>
      <c r="I60" s="1" t="s">
        <v>39</v>
      </c>
      <c r="J60" s="3">
        <f>37-Table1[[#This Row],[OOS]]</f>
        <v>36</v>
      </c>
      <c r="K60">
        <v>0</v>
      </c>
      <c r="L60">
        <v>0</v>
      </c>
      <c r="M60">
        <v>34</v>
      </c>
      <c r="N60">
        <v>0</v>
      </c>
      <c r="O60">
        <v>0</v>
      </c>
      <c r="P60">
        <v>1</v>
      </c>
      <c r="Q60">
        <v>1</v>
      </c>
      <c r="R60">
        <v>0</v>
      </c>
      <c r="S60">
        <v>1</v>
      </c>
      <c r="T60">
        <v>0</v>
      </c>
      <c r="U60">
        <v>0</v>
      </c>
      <c r="V60">
        <v>0</v>
      </c>
      <c r="W60">
        <v>0</v>
      </c>
      <c r="X60">
        <v>0</v>
      </c>
      <c r="AB60" s="1">
        <f t="shared" si="1"/>
        <v>37</v>
      </c>
      <c r="AC60">
        <v>24</v>
      </c>
      <c r="AD60">
        <v>1</v>
      </c>
      <c r="AE60">
        <v>0</v>
      </c>
    </row>
    <row r="61" spans="1:32" x14ac:dyDescent="0.2">
      <c r="A61">
        <v>60</v>
      </c>
      <c r="B61">
        <v>2</v>
      </c>
      <c r="C61" t="s">
        <v>28</v>
      </c>
      <c r="D61" t="s">
        <v>29</v>
      </c>
      <c r="E61" t="s">
        <v>36</v>
      </c>
      <c r="F61" s="2">
        <v>0.41180555555555554</v>
      </c>
      <c r="G61" t="s">
        <v>30</v>
      </c>
      <c r="H61" t="s">
        <v>34</v>
      </c>
      <c r="I61" s="1" t="s">
        <v>39</v>
      </c>
      <c r="J61" s="3">
        <f>37-Table1[[#This Row],[OOS]]</f>
        <v>37</v>
      </c>
      <c r="K61">
        <v>0</v>
      </c>
      <c r="L61">
        <v>0</v>
      </c>
      <c r="M61">
        <v>26</v>
      </c>
      <c r="N61">
        <v>0</v>
      </c>
      <c r="O61">
        <v>1</v>
      </c>
      <c r="P61">
        <v>6</v>
      </c>
      <c r="Q61">
        <v>0</v>
      </c>
      <c r="R61">
        <v>0</v>
      </c>
      <c r="S61">
        <v>0</v>
      </c>
      <c r="T61">
        <v>0</v>
      </c>
      <c r="U61">
        <v>1</v>
      </c>
      <c r="V61">
        <v>3</v>
      </c>
      <c r="W61">
        <v>0</v>
      </c>
      <c r="X61">
        <v>0</v>
      </c>
      <c r="AB61" s="1">
        <f t="shared" si="1"/>
        <v>37</v>
      </c>
      <c r="AC61">
        <v>22</v>
      </c>
      <c r="AD61">
        <v>5</v>
      </c>
      <c r="AE61">
        <v>0</v>
      </c>
    </row>
    <row r="62" spans="1:32" x14ac:dyDescent="0.2">
      <c r="A62">
        <v>61</v>
      </c>
      <c r="B62">
        <v>2</v>
      </c>
      <c r="C62" t="s">
        <v>27</v>
      </c>
      <c r="D62" t="s">
        <v>44</v>
      </c>
      <c r="E62" t="s">
        <v>36</v>
      </c>
      <c r="F62" s="2">
        <v>0.45069444444444445</v>
      </c>
      <c r="G62" t="s">
        <v>30</v>
      </c>
      <c r="H62" t="s">
        <v>34</v>
      </c>
      <c r="I62" s="1" t="s">
        <v>39</v>
      </c>
      <c r="J62" s="3">
        <f>37-Table1[[#This Row],[OOS]]</f>
        <v>37</v>
      </c>
      <c r="K62">
        <v>0</v>
      </c>
      <c r="L62">
        <v>0</v>
      </c>
      <c r="M62">
        <v>35</v>
      </c>
      <c r="N62">
        <v>0</v>
      </c>
      <c r="O62">
        <v>1</v>
      </c>
      <c r="P62">
        <v>1</v>
      </c>
      <c r="Q62">
        <v>0</v>
      </c>
      <c r="R62">
        <v>0</v>
      </c>
      <c r="S62">
        <v>0</v>
      </c>
      <c r="T62">
        <v>0</v>
      </c>
      <c r="U62">
        <v>0</v>
      </c>
      <c r="V62">
        <v>0</v>
      </c>
      <c r="W62">
        <v>0</v>
      </c>
      <c r="X62">
        <v>0</v>
      </c>
      <c r="AB62" s="1">
        <f t="shared" si="1"/>
        <v>37</v>
      </c>
      <c r="AC62">
        <v>16</v>
      </c>
      <c r="AD62">
        <v>1</v>
      </c>
      <c r="AE62">
        <v>0</v>
      </c>
    </row>
    <row r="63" spans="1:32" x14ac:dyDescent="0.2">
      <c r="A63">
        <v>62</v>
      </c>
      <c r="B63">
        <v>2</v>
      </c>
      <c r="C63" t="s">
        <v>27</v>
      </c>
      <c r="D63" t="s">
        <v>44</v>
      </c>
      <c r="E63" t="s">
        <v>36</v>
      </c>
      <c r="F63" s="2">
        <v>0.45277777777777778</v>
      </c>
      <c r="G63" t="s">
        <v>33</v>
      </c>
      <c r="H63" t="s">
        <v>34</v>
      </c>
      <c r="I63" s="1" t="s">
        <v>39</v>
      </c>
      <c r="J63" s="3">
        <f>37-Table1[[#This Row],[OOS]]</f>
        <v>27</v>
      </c>
      <c r="K63">
        <v>0</v>
      </c>
      <c r="L63">
        <v>0</v>
      </c>
      <c r="M63">
        <v>0</v>
      </c>
      <c r="N63">
        <v>22</v>
      </c>
      <c r="O63">
        <v>3</v>
      </c>
      <c r="P63">
        <v>0</v>
      </c>
      <c r="Q63">
        <v>2</v>
      </c>
      <c r="R63">
        <v>0</v>
      </c>
      <c r="S63">
        <v>10</v>
      </c>
      <c r="T63">
        <v>0</v>
      </c>
      <c r="U63">
        <v>0</v>
      </c>
      <c r="V63">
        <v>0</v>
      </c>
      <c r="W63">
        <v>0</v>
      </c>
      <c r="X63">
        <v>0</v>
      </c>
      <c r="AB63" s="1">
        <f t="shared" si="1"/>
        <v>37</v>
      </c>
      <c r="AC63">
        <v>21</v>
      </c>
      <c r="AD63">
        <v>3</v>
      </c>
      <c r="AE63">
        <v>0</v>
      </c>
    </row>
    <row r="64" spans="1:32" x14ac:dyDescent="0.2">
      <c r="A64">
        <v>63</v>
      </c>
      <c r="B64">
        <v>2</v>
      </c>
      <c r="C64" t="s">
        <v>27</v>
      </c>
      <c r="D64" t="s">
        <v>44</v>
      </c>
      <c r="E64" t="s">
        <v>36</v>
      </c>
      <c r="F64" s="2">
        <v>0.4597222222222222</v>
      </c>
      <c r="G64" t="s">
        <v>30</v>
      </c>
      <c r="H64" t="s">
        <v>31</v>
      </c>
      <c r="I64" s="1" t="s">
        <v>32</v>
      </c>
      <c r="J64" s="3">
        <f>37-Table1[[#This Row],[OOS]]</f>
        <v>37</v>
      </c>
      <c r="K64">
        <v>0</v>
      </c>
      <c r="L64">
        <v>0</v>
      </c>
      <c r="M64">
        <v>26</v>
      </c>
      <c r="N64">
        <v>0</v>
      </c>
      <c r="O64">
        <v>5</v>
      </c>
      <c r="P64">
        <v>0</v>
      </c>
      <c r="Q64">
        <v>1</v>
      </c>
      <c r="R64">
        <v>0</v>
      </c>
      <c r="S64">
        <v>0</v>
      </c>
      <c r="T64">
        <v>0</v>
      </c>
      <c r="U64">
        <v>0</v>
      </c>
      <c r="V64">
        <v>0</v>
      </c>
      <c r="W64">
        <v>0</v>
      </c>
      <c r="X64">
        <v>5</v>
      </c>
      <c r="AB64" s="1">
        <f t="shared" si="1"/>
        <v>37</v>
      </c>
      <c r="AC64">
        <v>16</v>
      </c>
      <c r="AD64">
        <v>1</v>
      </c>
      <c r="AE64">
        <v>1</v>
      </c>
      <c r="AF64" t="s">
        <v>45</v>
      </c>
    </row>
    <row r="65" spans="1:31" x14ac:dyDescent="0.2">
      <c r="A65">
        <v>64</v>
      </c>
      <c r="B65">
        <v>2</v>
      </c>
      <c r="C65" t="s">
        <v>27</v>
      </c>
      <c r="D65" t="s">
        <v>44</v>
      </c>
      <c r="E65" t="s">
        <v>36</v>
      </c>
      <c r="F65" s="2">
        <v>0.46319444444444446</v>
      </c>
      <c r="G65" t="s">
        <v>33</v>
      </c>
      <c r="H65" t="s">
        <v>31</v>
      </c>
      <c r="I65" s="1" t="s">
        <v>32</v>
      </c>
      <c r="J65" s="3">
        <f>37-Table1[[#This Row],[OOS]]</f>
        <v>37</v>
      </c>
      <c r="K65">
        <v>34</v>
      </c>
      <c r="L65">
        <v>0</v>
      </c>
      <c r="M65">
        <v>0</v>
      </c>
      <c r="N65">
        <v>0</v>
      </c>
      <c r="O65">
        <v>1</v>
      </c>
      <c r="P65">
        <v>2</v>
      </c>
      <c r="Q65">
        <v>0</v>
      </c>
      <c r="R65">
        <v>0</v>
      </c>
      <c r="S65">
        <v>0</v>
      </c>
      <c r="T65">
        <v>0</v>
      </c>
      <c r="U65">
        <v>0</v>
      </c>
      <c r="V65">
        <v>0</v>
      </c>
      <c r="W65">
        <v>0</v>
      </c>
      <c r="X65">
        <v>0</v>
      </c>
      <c r="AB65" s="1">
        <f t="shared" si="1"/>
        <v>37</v>
      </c>
      <c r="AC65">
        <v>11</v>
      </c>
      <c r="AD65">
        <v>0</v>
      </c>
      <c r="AE65">
        <v>0</v>
      </c>
    </row>
    <row r="66" spans="1:31" x14ac:dyDescent="0.2">
      <c r="A66">
        <v>65</v>
      </c>
      <c r="B66">
        <v>2</v>
      </c>
      <c r="C66" t="s">
        <v>27</v>
      </c>
      <c r="D66" t="s">
        <v>44</v>
      </c>
      <c r="E66" t="s">
        <v>37</v>
      </c>
      <c r="F66" s="2">
        <v>0.46666666666666667</v>
      </c>
      <c r="G66" t="s">
        <v>33</v>
      </c>
      <c r="H66" t="s">
        <v>34</v>
      </c>
      <c r="I66" s="1" t="s">
        <v>39</v>
      </c>
      <c r="J66" s="3">
        <f>37-Table1[[#This Row],[OOS]]</f>
        <v>37</v>
      </c>
      <c r="K66">
        <v>0</v>
      </c>
      <c r="L66">
        <v>0</v>
      </c>
      <c r="M66">
        <v>36</v>
      </c>
      <c r="N66">
        <v>0</v>
      </c>
      <c r="O66">
        <v>1</v>
      </c>
      <c r="P66">
        <v>0</v>
      </c>
      <c r="Q66">
        <v>0</v>
      </c>
      <c r="R66">
        <v>0</v>
      </c>
      <c r="S66">
        <v>0</v>
      </c>
      <c r="T66">
        <v>0</v>
      </c>
      <c r="U66">
        <v>0</v>
      </c>
      <c r="V66">
        <v>0</v>
      </c>
      <c r="W66">
        <v>0</v>
      </c>
      <c r="X66">
        <v>0</v>
      </c>
      <c r="AB66" s="1">
        <f t="shared" ref="AB66:AB97" si="2">SUM(K66:AA66)</f>
        <v>37</v>
      </c>
      <c r="AC66">
        <v>21</v>
      </c>
      <c r="AD66">
        <v>4</v>
      </c>
      <c r="AE66">
        <v>0</v>
      </c>
    </row>
    <row r="67" spans="1:31" x14ac:dyDescent="0.2">
      <c r="A67">
        <v>66</v>
      </c>
      <c r="B67">
        <v>2</v>
      </c>
      <c r="C67" t="s">
        <v>27</v>
      </c>
      <c r="D67" t="s">
        <v>44</v>
      </c>
      <c r="E67" t="s">
        <v>37</v>
      </c>
      <c r="F67" s="2">
        <v>0.46944444444444444</v>
      </c>
      <c r="G67" t="s">
        <v>33</v>
      </c>
      <c r="H67" t="s">
        <v>34</v>
      </c>
      <c r="I67" s="1" t="s">
        <v>39</v>
      </c>
      <c r="J67" s="3">
        <f>37-Table1[[#This Row],[OOS]]</f>
        <v>34</v>
      </c>
      <c r="K67">
        <v>0</v>
      </c>
      <c r="L67">
        <v>0</v>
      </c>
      <c r="M67">
        <v>31</v>
      </c>
      <c r="N67">
        <v>0</v>
      </c>
      <c r="O67">
        <v>0</v>
      </c>
      <c r="P67">
        <v>0</v>
      </c>
      <c r="Q67">
        <v>0</v>
      </c>
      <c r="R67">
        <v>0</v>
      </c>
      <c r="S67">
        <v>3</v>
      </c>
      <c r="T67">
        <v>0</v>
      </c>
      <c r="U67">
        <v>0</v>
      </c>
      <c r="V67">
        <v>0</v>
      </c>
      <c r="W67">
        <v>3</v>
      </c>
      <c r="X67">
        <v>0</v>
      </c>
      <c r="AB67" s="1">
        <f t="shared" si="2"/>
        <v>37</v>
      </c>
      <c r="AC67">
        <v>22</v>
      </c>
      <c r="AD67">
        <v>2</v>
      </c>
      <c r="AE67">
        <v>0</v>
      </c>
    </row>
    <row r="68" spans="1:31" x14ac:dyDescent="0.2">
      <c r="A68">
        <v>67</v>
      </c>
      <c r="B68">
        <v>2</v>
      </c>
      <c r="C68" t="s">
        <v>27</v>
      </c>
      <c r="D68" t="s">
        <v>44</v>
      </c>
      <c r="E68" t="s">
        <v>37</v>
      </c>
      <c r="F68" s="2">
        <v>0.47361111111111109</v>
      </c>
      <c r="G68" t="s">
        <v>33</v>
      </c>
      <c r="H68" t="s">
        <v>34</v>
      </c>
      <c r="I68" s="1" t="s">
        <v>32</v>
      </c>
      <c r="J68" s="3">
        <f>37-Table1[[#This Row],[OOS]]</f>
        <v>37</v>
      </c>
      <c r="K68">
        <v>0</v>
      </c>
      <c r="L68">
        <v>0</v>
      </c>
      <c r="M68">
        <v>16</v>
      </c>
      <c r="N68">
        <v>0</v>
      </c>
      <c r="O68">
        <v>8</v>
      </c>
      <c r="P68">
        <v>0</v>
      </c>
      <c r="Q68">
        <v>0</v>
      </c>
      <c r="R68">
        <v>0</v>
      </c>
      <c r="S68">
        <v>0</v>
      </c>
      <c r="T68">
        <v>0</v>
      </c>
      <c r="U68">
        <v>1</v>
      </c>
      <c r="V68">
        <v>12</v>
      </c>
      <c r="W68">
        <v>0</v>
      </c>
      <c r="X68">
        <v>0</v>
      </c>
      <c r="AB68" s="1">
        <f t="shared" si="2"/>
        <v>37</v>
      </c>
      <c r="AC68">
        <v>15</v>
      </c>
      <c r="AD68">
        <v>6</v>
      </c>
      <c r="AE68">
        <v>1</v>
      </c>
    </row>
    <row r="69" spans="1:31" x14ac:dyDescent="0.2">
      <c r="A69">
        <v>68</v>
      </c>
      <c r="B69">
        <v>2</v>
      </c>
      <c r="C69" t="s">
        <v>27</v>
      </c>
      <c r="D69" t="s">
        <v>44</v>
      </c>
      <c r="E69" t="s">
        <v>37</v>
      </c>
      <c r="F69" s="2">
        <v>0.47638888888888886</v>
      </c>
      <c r="G69" t="s">
        <v>30</v>
      </c>
      <c r="H69" t="s">
        <v>31</v>
      </c>
      <c r="I69" s="1" t="s">
        <v>32</v>
      </c>
      <c r="J69" s="3">
        <f>37-Table1[[#This Row],[OOS]]</f>
        <v>37</v>
      </c>
      <c r="K69">
        <v>31</v>
      </c>
      <c r="L69">
        <v>0</v>
      </c>
      <c r="M69">
        <v>1</v>
      </c>
      <c r="N69">
        <v>0</v>
      </c>
      <c r="O69">
        <v>4</v>
      </c>
      <c r="P69">
        <v>0</v>
      </c>
      <c r="Q69">
        <v>0</v>
      </c>
      <c r="R69">
        <v>0</v>
      </c>
      <c r="S69">
        <v>0</v>
      </c>
      <c r="T69">
        <v>0</v>
      </c>
      <c r="U69">
        <v>0</v>
      </c>
      <c r="V69">
        <v>0</v>
      </c>
      <c r="W69">
        <v>0</v>
      </c>
      <c r="X69">
        <v>0</v>
      </c>
      <c r="Z69">
        <v>1</v>
      </c>
      <c r="AB69" s="1">
        <f t="shared" si="2"/>
        <v>37</v>
      </c>
      <c r="AC69">
        <v>23</v>
      </c>
      <c r="AD69">
        <v>3</v>
      </c>
      <c r="AE69">
        <v>1</v>
      </c>
    </row>
    <row r="70" spans="1:31" x14ac:dyDescent="0.2">
      <c r="A70">
        <v>69</v>
      </c>
      <c r="B70">
        <v>2</v>
      </c>
      <c r="C70" t="s">
        <v>27</v>
      </c>
      <c r="D70" t="s">
        <v>44</v>
      </c>
      <c r="E70" t="s">
        <v>38</v>
      </c>
      <c r="F70" s="2">
        <v>0.47916666666666669</v>
      </c>
      <c r="G70" t="s">
        <v>33</v>
      </c>
      <c r="H70" t="s">
        <v>34</v>
      </c>
      <c r="I70" s="1" t="s">
        <v>39</v>
      </c>
      <c r="J70" s="3">
        <f>37-Table1[[#This Row],[OOS]]</f>
        <v>37</v>
      </c>
      <c r="K70">
        <v>0</v>
      </c>
      <c r="L70">
        <v>0</v>
      </c>
      <c r="M70">
        <v>28</v>
      </c>
      <c r="N70">
        <v>6</v>
      </c>
      <c r="O70">
        <v>1</v>
      </c>
      <c r="P70">
        <v>0</v>
      </c>
      <c r="Q70">
        <v>2</v>
      </c>
      <c r="R70">
        <v>0</v>
      </c>
      <c r="S70">
        <v>0</v>
      </c>
      <c r="T70">
        <v>0</v>
      </c>
      <c r="U70">
        <v>0</v>
      </c>
      <c r="V70">
        <v>0</v>
      </c>
      <c r="W70">
        <v>0</v>
      </c>
      <c r="X70">
        <v>0</v>
      </c>
      <c r="AB70" s="1">
        <f t="shared" si="2"/>
        <v>37</v>
      </c>
      <c r="AC70">
        <v>21</v>
      </c>
      <c r="AD70">
        <v>3</v>
      </c>
      <c r="AE70">
        <v>0</v>
      </c>
    </row>
    <row r="71" spans="1:31" x14ac:dyDescent="0.2">
      <c r="A71">
        <v>70</v>
      </c>
      <c r="B71">
        <v>2</v>
      </c>
      <c r="C71" t="s">
        <v>27</v>
      </c>
      <c r="D71" t="s">
        <v>44</v>
      </c>
      <c r="E71" t="s">
        <v>38</v>
      </c>
      <c r="F71" s="2">
        <v>0.4826388888888889</v>
      </c>
      <c r="G71" t="s">
        <v>30</v>
      </c>
      <c r="H71" t="s">
        <v>34</v>
      </c>
      <c r="I71" s="1" t="s">
        <v>39</v>
      </c>
      <c r="J71" s="3">
        <f>37-Table1[[#This Row],[OOS]]</f>
        <v>36</v>
      </c>
      <c r="K71">
        <v>0</v>
      </c>
      <c r="L71">
        <v>0</v>
      </c>
      <c r="M71">
        <v>4</v>
      </c>
      <c r="N71">
        <v>4</v>
      </c>
      <c r="O71">
        <v>27</v>
      </c>
      <c r="P71">
        <v>0</v>
      </c>
      <c r="Q71">
        <v>1</v>
      </c>
      <c r="R71">
        <v>0</v>
      </c>
      <c r="S71">
        <v>1</v>
      </c>
      <c r="T71">
        <v>0</v>
      </c>
      <c r="U71">
        <v>0</v>
      </c>
      <c r="V71">
        <v>0</v>
      </c>
      <c r="W71">
        <v>0</v>
      </c>
      <c r="X71">
        <v>0</v>
      </c>
      <c r="AB71" s="1">
        <f t="shared" si="2"/>
        <v>37</v>
      </c>
      <c r="AC71">
        <v>3</v>
      </c>
      <c r="AD71">
        <v>9</v>
      </c>
      <c r="AE71">
        <v>0</v>
      </c>
    </row>
    <row r="72" spans="1:31" x14ac:dyDescent="0.2">
      <c r="A72">
        <v>71</v>
      </c>
      <c r="B72">
        <v>2</v>
      </c>
      <c r="C72" t="s">
        <v>27</v>
      </c>
      <c r="D72" t="s">
        <v>44</v>
      </c>
      <c r="E72" t="s">
        <v>38</v>
      </c>
      <c r="F72" s="2">
        <v>0.48749999999999999</v>
      </c>
      <c r="G72" t="s">
        <v>33</v>
      </c>
      <c r="H72" t="s">
        <v>31</v>
      </c>
      <c r="I72" s="1" t="s">
        <v>32</v>
      </c>
      <c r="J72" s="3">
        <f>37-Table1[[#This Row],[OOS]]</f>
        <v>36</v>
      </c>
      <c r="K72">
        <v>25</v>
      </c>
      <c r="L72">
        <v>0</v>
      </c>
      <c r="M72">
        <v>2</v>
      </c>
      <c r="N72">
        <v>1</v>
      </c>
      <c r="O72">
        <v>0</v>
      </c>
      <c r="P72">
        <v>1</v>
      </c>
      <c r="Q72">
        <v>0</v>
      </c>
      <c r="R72">
        <v>0</v>
      </c>
      <c r="S72">
        <v>1</v>
      </c>
      <c r="T72">
        <v>0</v>
      </c>
      <c r="U72">
        <v>1</v>
      </c>
      <c r="V72">
        <v>0</v>
      </c>
      <c r="W72">
        <v>0</v>
      </c>
      <c r="X72">
        <v>4</v>
      </c>
      <c r="Z72">
        <v>2</v>
      </c>
      <c r="AB72" s="1">
        <f t="shared" si="2"/>
        <v>37</v>
      </c>
      <c r="AC72">
        <v>13</v>
      </c>
      <c r="AD72">
        <v>0</v>
      </c>
      <c r="AE72">
        <v>1</v>
      </c>
    </row>
    <row r="73" spans="1:31" x14ac:dyDescent="0.2">
      <c r="A73">
        <v>72</v>
      </c>
      <c r="B73">
        <v>2</v>
      </c>
      <c r="C73" t="s">
        <v>27</v>
      </c>
      <c r="D73" t="s">
        <v>44</v>
      </c>
      <c r="E73" t="s">
        <v>38</v>
      </c>
      <c r="F73" s="2">
        <v>0.48958333333333331</v>
      </c>
      <c r="G73" t="s">
        <v>30</v>
      </c>
      <c r="H73" t="s">
        <v>31</v>
      </c>
      <c r="I73" s="1" t="s">
        <v>32</v>
      </c>
      <c r="J73" s="3">
        <f>37-Table1[[#This Row],[OOS]]</f>
        <v>36</v>
      </c>
      <c r="K73">
        <v>24</v>
      </c>
      <c r="L73">
        <v>0</v>
      </c>
      <c r="M73">
        <v>0</v>
      </c>
      <c r="N73">
        <v>0</v>
      </c>
      <c r="O73">
        <v>3</v>
      </c>
      <c r="P73">
        <v>0</v>
      </c>
      <c r="Q73">
        <v>0</v>
      </c>
      <c r="R73">
        <v>0</v>
      </c>
      <c r="S73">
        <v>1</v>
      </c>
      <c r="T73">
        <v>0</v>
      </c>
      <c r="U73">
        <v>3</v>
      </c>
      <c r="V73">
        <v>0</v>
      </c>
      <c r="W73">
        <v>0</v>
      </c>
      <c r="X73">
        <v>4</v>
      </c>
      <c r="Z73">
        <v>2</v>
      </c>
      <c r="AB73" s="1">
        <f t="shared" si="2"/>
        <v>37</v>
      </c>
      <c r="AC73">
        <v>15</v>
      </c>
      <c r="AD73">
        <v>4</v>
      </c>
      <c r="AE73">
        <v>2</v>
      </c>
    </row>
    <row r="74" spans="1:31" x14ac:dyDescent="0.2">
      <c r="A74">
        <v>73</v>
      </c>
      <c r="B74">
        <v>2</v>
      </c>
      <c r="C74" t="s">
        <v>26</v>
      </c>
      <c r="D74" t="s">
        <v>44</v>
      </c>
      <c r="E74" t="s">
        <v>36</v>
      </c>
      <c r="F74" s="2">
        <v>0.59027777777777779</v>
      </c>
      <c r="G74" t="s">
        <v>30</v>
      </c>
      <c r="H74" t="s">
        <v>34</v>
      </c>
      <c r="I74" s="1" t="s">
        <v>39</v>
      </c>
      <c r="J74" s="3">
        <f>37-Table1[[#This Row],[OOS]]</f>
        <v>37</v>
      </c>
      <c r="K74">
        <v>0</v>
      </c>
      <c r="L74">
        <v>0</v>
      </c>
      <c r="M74">
        <v>35</v>
      </c>
      <c r="N74">
        <v>0</v>
      </c>
      <c r="O74">
        <v>1</v>
      </c>
      <c r="P74">
        <v>1</v>
      </c>
      <c r="Q74">
        <v>0</v>
      </c>
      <c r="R74">
        <v>0</v>
      </c>
      <c r="S74">
        <v>0</v>
      </c>
      <c r="T74">
        <v>0</v>
      </c>
      <c r="U74">
        <v>0</v>
      </c>
      <c r="V74">
        <v>0</v>
      </c>
      <c r="W74">
        <v>0</v>
      </c>
      <c r="X74">
        <v>0</v>
      </c>
      <c r="AB74" s="1">
        <f t="shared" si="2"/>
        <v>37</v>
      </c>
      <c r="AC74">
        <v>52</v>
      </c>
      <c r="AD74">
        <v>0</v>
      </c>
      <c r="AE74">
        <v>0</v>
      </c>
    </row>
    <row r="75" spans="1:31" x14ac:dyDescent="0.2">
      <c r="A75">
        <v>74</v>
      </c>
      <c r="B75">
        <v>2</v>
      </c>
      <c r="C75" t="s">
        <v>26</v>
      </c>
      <c r="D75" t="s">
        <v>44</v>
      </c>
      <c r="E75" t="s">
        <v>36</v>
      </c>
      <c r="F75" s="2">
        <v>0.59444444444444444</v>
      </c>
      <c r="G75" t="s">
        <v>33</v>
      </c>
      <c r="H75" t="s">
        <v>34</v>
      </c>
      <c r="I75" s="1" t="s">
        <v>39</v>
      </c>
      <c r="J75" s="3">
        <f>37-Table1[[#This Row],[OOS]]</f>
        <v>37</v>
      </c>
      <c r="K75">
        <v>0</v>
      </c>
      <c r="L75">
        <v>0</v>
      </c>
      <c r="M75">
        <v>15</v>
      </c>
      <c r="N75">
        <v>15</v>
      </c>
      <c r="O75">
        <v>6</v>
      </c>
      <c r="P75">
        <v>0</v>
      </c>
      <c r="Q75">
        <v>1</v>
      </c>
      <c r="R75">
        <v>0</v>
      </c>
      <c r="S75">
        <v>0</v>
      </c>
      <c r="T75">
        <v>0</v>
      </c>
      <c r="U75">
        <v>0</v>
      </c>
      <c r="V75">
        <v>0</v>
      </c>
      <c r="W75">
        <v>0</v>
      </c>
      <c r="X75">
        <v>0</v>
      </c>
      <c r="AB75" s="1">
        <f t="shared" si="2"/>
        <v>37</v>
      </c>
      <c r="AC75">
        <v>61</v>
      </c>
      <c r="AD75">
        <v>5</v>
      </c>
      <c r="AE75">
        <v>0</v>
      </c>
    </row>
    <row r="76" spans="1:31" x14ac:dyDescent="0.2">
      <c r="A76">
        <v>75</v>
      </c>
      <c r="B76">
        <v>2</v>
      </c>
      <c r="C76" t="s">
        <v>26</v>
      </c>
      <c r="D76" t="s">
        <v>44</v>
      </c>
      <c r="E76" t="s">
        <v>36</v>
      </c>
      <c r="F76" s="2">
        <v>0.59722222222222221</v>
      </c>
      <c r="G76" t="s">
        <v>30</v>
      </c>
      <c r="H76" t="s">
        <v>31</v>
      </c>
      <c r="I76" s="1" t="s">
        <v>32</v>
      </c>
      <c r="J76" s="3">
        <f>37-Table1[[#This Row],[OOS]]</f>
        <v>37</v>
      </c>
      <c r="K76">
        <v>34</v>
      </c>
      <c r="L76">
        <v>0</v>
      </c>
      <c r="M76">
        <v>0</v>
      </c>
      <c r="N76">
        <v>0</v>
      </c>
      <c r="O76">
        <v>0</v>
      </c>
      <c r="P76">
        <v>2</v>
      </c>
      <c r="Q76">
        <v>0</v>
      </c>
      <c r="R76">
        <v>0</v>
      </c>
      <c r="S76">
        <v>0</v>
      </c>
      <c r="T76">
        <v>0</v>
      </c>
      <c r="U76">
        <v>0</v>
      </c>
      <c r="V76">
        <v>0</v>
      </c>
      <c r="W76">
        <v>0</v>
      </c>
      <c r="X76">
        <v>1</v>
      </c>
      <c r="AB76" s="1">
        <f t="shared" si="2"/>
        <v>37</v>
      </c>
      <c r="AC76">
        <v>65</v>
      </c>
      <c r="AD76">
        <v>0</v>
      </c>
      <c r="AE76">
        <v>0</v>
      </c>
    </row>
    <row r="77" spans="1:31" x14ac:dyDescent="0.2">
      <c r="A77">
        <v>76</v>
      </c>
      <c r="B77">
        <v>2</v>
      </c>
      <c r="C77" t="s">
        <v>26</v>
      </c>
      <c r="D77" t="s">
        <v>44</v>
      </c>
      <c r="E77" t="s">
        <v>36</v>
      </c>
      <c r="F77" s="2">
        <v>0.6</v>
      </c>
      <c r="G77" t="s">
        <v>33</v>
      </c>
      <c r="H77" t="s">
        <v>31</v>
      </c>
      <c r="I77" s="1" t="s">
        <v>32</v>
      </c>
      <c r="J77" s="3">
        <f>37-Table1[[#This Row],[OOS]]</f>
        <v>37</v>
      </c>
      <c r="K77">
        <v>33</v>
      </c>
      <c r="L77">
        <v>0</v>
      </c>
      <c r="M77">
        <v>0</v>
      </c>
      <c r="N77">
        <v>0</v>
      </c>
      <c r="O77">
        <v>0</v>
      </c>
      <c r="P77">
        <v>4</v>
      </c>
      <c r="Q77">
        <v>0</v>
      </c>
      <c r="R77">
        <v>0</v>
      </c>
      <c r="S77">
        <v>0</v>
      </c>
      <c r="T77">
        <v>0</v>
      </c>
      <c r="U77">
        <v>0</v>
      </c>
      <c r="V77">
        <v>0</v>
      </c>
      <c r="W77">
        <v>0</v>
      </c>
      <c r="X77">
        <v>0</v>
      </c>
      <c r="AB77" s="1">
        <f t="shared" si="2"/>
        <v>37</v>
      </c>
      <c r="AC77">
        <v>62</v>
      </c>
      <c r="AD77">
        <v>0</v>
      </c>
      <c r="AE77">
        <v>0</v>
      </c>
    </row>
    <row r="78" spans="1:31" x14ac:dyDescent="0.2">
      <c r="A78">
        <v>77</v>
      </c>
      <c r="B78">
        <v>2</v>
      </c>
      <c r="C78" t="s">
        <v>26</v>
      </c>
      <c r="D78" t="s">
        <v>44</v>
      </c>
      <c r="E78" t="s">
        <v>37</v>
      </c>
      <c r="F78" s="2">
        <v>0.60347222222222219</v>
      </c>
      <c r="G78" t="s">
        <v>30</v>
      </c>
      <c r="H78" t="s">
        <v>34</v>
      </c>
      <c r="I78" s="1" t="s">
        <v>39</v>
      </c>
      <c r="J78" s="3">
        <f>37-Table1[[#This Row],[OOS]]</f>
        <v>36</v>
      </c>
      <c r="K78">
        <v>0</v>
      </c>
      <c r="L78">
        <v>0</v>
      </c>
      <c r="M78">
        <v>10</v>
      </c>
      <c r="N78">
        <v>5</v>
      </c>
      <c r="O78">
        <v>8</v>
      </c>
      <c r="P78">
        <v>1</v>
      </c>
      <c r="Q78">
        <v>10</v>
      </c>
      <c r="R78">
        <v>0</v>
      </c>
      <c r="S78">
        <v>1</v>
      </c>
      <c r="T78">
        <v>0</v>
      </c>
      <c r="U78">
        <v>2</v>
      </c>
      <c r="V78">
        <v>0</v>
      </c>
      <c r="W78">
        <v>0</v>
      </c>
      <c r="X78">
        <v>0</v>
      </c>
      <c r="AB78" s="1">
        <f t="shared" si="2"/>
        <v>37</v>
      </c>
      <c r="AC78">
        <v>27</v>
      </c>
      <c r="AD78">
        <v>6</v>
      </c>
      <c r="AE78">
        <v>0</v>
      </c>
    </row>
    <row r="79" spans="1:31" x14ac:dyDescent="0.2">
      <c r="A79">
        <v>78</v>
      </c>
      <c r="B79">
        <v>2</v>
      </c>
      <c r="C79" t="s">
        <v>26</v>
      </c>
      <c r="D79" t="s">
        <v>44</v>
      </c>
      <c r="E79" t="s">
        <v>37</v>
      </c>
      <c r="F79" s="2">
        <v>0.60833333333333328</v>
      </c>
      <c r="G79" t="s">
        <v>33</v>
      </c>
      <c r="H79" t="s">
        <v>34</v>
      </c>
      <c r="I79" s="1" t="s">
        <v>39</v>
      </c>
      <c r="J79" s="3">
        <f>37-Table1[[#This Row],[OOS]]</f>
        <v>35</v>
      </c>
      <c r="K79">
        <v>0</v>
      </c>
      <c r="L79">
        <v>0</v>
      </c>
      <c r="M79">
        <v>30</v>
      </c>
      <c r="N79">
        <v>0</v>
      </c>
      <c r="O79">
        <v>5</v>
      </c>
      <c r="P79">
        <v>0</v>
      </c>
      <c r="Q79">
        <v>0</v>
      </c>
      <c r="R79">
        <v>0</v>
      </c>
      <c r="S79">
        <v>2</v>
      </c>
      <c r="T79">
        <v>0</v>
      </c>
      <c r="U79">
        <v>0</v>
      </c>
      <c r="V79">
        <v>0</v>
      </c>
      <c r="W79">
        <v>0</v>
      </c>
      <c r="X79">
        <v>0</v>
      </c>
      <c r="AB79" s="1">
        <f t="shared" si="2"/>
        <v>37</v>
      </c>
      <c r="AC79">
        <v>60</v>
      </c>
      <c r="AD79">
        <v>2</v>
      </c>
      <c r="AE79">
        <v>0</v>
      </c>
    </row>
    <row r="80" spans="1:31" x14ac:dyDescent="0.2">
      <c r="A80">
        <v>79</v>
      </c>
      <c r="B80">
        <v>2</v>
      </c>
      <c r="C80" t="s">
        <v>26</v>
      </c>
      <c r="D80" t="s">
        <v>44</v>
      </c>
      <c r="E80" t="s">
        <v>37</v>
      </c>
      <c r="F80" s="2">
        <v>0.6118055555555556</v>
      </c>
      <c r="G80" t="s">
        <v>30</v>
      </c>
      <c r="H80" t="s">
        <v>31</v>
      </c>
      <c r="I80" s="1" t="s">
        <v>32</v>
      </c>
      <c r="J80" s="3">
        <f>37-Table1[[#This Row],[OOS]]</f>
        <v>37</v>
      </c>
      <c r="K80">
        <v>33</v>
      </c>
      <c r="L80">
        <v>0</v>
      </c>
      <c r="M80">
        <v>0</v>
      </c>
      <c r="N80">
        <v>0</v>
      </c>
      <c r="O80">
        <v>0</v>
      </c>
      <c r="P80">
        <v>3</v>
      </c>
      <c r="Q80">
        <v>0</v>
      </c>
      <c r="R80">
        <v>0</v>
      </c>
      <c r="S80">
        <v>0</v>
      </c>
      <c r="T80">
        <v>0</v>
      </c>
      <c r="U80">
        <v>0</v>
      </c>
      <c r="V80">
        <v>0</v>
      </c>
      <c r="W80">
        <v>0</v>
      </c>
      <c r="X80">
        <v>1</v>
      </c>
      <c r="AB80" s="1">
        <f t="shared" si="2"/>
        <v>37</v>
      </c>
      <c r="AC80">
        <v>26</v>
      </c>
      <c r="AD80">
        <v>0</v>
      </c>
      <c r="AE80">
        <v>0</v>
      </c>
    </row>
    <row r="81" spans="1:31" x14ac:dyDescent="0.2">
      <c r="A81">
        <v>80</v>
      </c>
      <c r="B81">
        <v>2</v>
      </c>
      <c r="C81" t="s">
        <v>26</v>
      </c>
      <c r="D81" t="s">
        <v>44</v>
      </c>
      <c r="E81" t="s">
        <v>37</v>
      </c>
      <c r="F81" s="2">
        <v>0.61527777777777781</v>
      </c>
      <c r="G81" t="s">
        <v>33</v>
      </c>
      <c r="H81" t="s">
        <v>31</v>
      </c>
      <c r="I81" s="1" t="s">
        <v>32</v>
      </c>
      <c r="J81" s="3">
        <f>37-Table1[[#This Row],[OOS]]</f>
        <v>37</v>
      </c>
      <c r="K81">
        <v>32</v>
      </c>
      <c r="L81">
        <v>0</v>
      </c>
      <c r="M81">
        <v>0</v>
      </c>
      <c r="N81">
        <v>0</v>
      </c>
      <c r="O81">
        <v>0</v>
      </c>
      <c r="P81">
        <v>5</v>
      </c>
      <c r="Q81">
        <v>0</v>
      </c>
      <c r="R81">
        <v>0</v>
      </c>
      <c r="S81">
        <v>0</v>
      </c>
      <c r="T81">
        <v>0</v>
      </c>
      <c r="U81">
        <v>0</v>
      </c>
      <c r="V81">
        <v>0</v>
      </c>
      <c r="W81">
        <v>0</v>
      </c>
      <c r="X81">
        <v>0</v>
      </c>
      <c r="AB81" s="1">
        <f t="shared" si="2"/>
        <v>37</v>
      </c>
      <c r="AC81">
        <v>14</v>
      </c>
      <c r="AD81">
        <v>0</v>
      </c>
      <c r="AE81">
        <v>0</v>
      </c>
    </row>
    <row r="82" spans="1:31" x14ac:dyDescent="0.2">
      <c r="A82">
        <v>81</v>
      </c>
      <c r="B82">
        <v>2</v>
      </c>
      <c r="C82" t="s">
        <v>26</v>
      </c>
      <c r="D82" t="s">
        <v>44</v>
      </c>
      <c r="E82" t="s">
        <v>38</v>
      </c>
      <c r="F82" s="2">
        <v>0.62083333333333335</v>
      </c>
      <c r="G82" t="s">
        <v>33</v>
      </c>
      <c r="H82" t="s">
        <v>34</v>
      </c>
      <c r="I82" s="1" t="s">
        <v>39</v>
      </c>
      <c r="J82" s="3">
        <f>37-Table1[[#This Row],[OOS]]</f>
        <v>36</v>
      </c>
      <c r="K82">
        <v>0</v>
      </c>
      <c r="L82">
        <v>0</v>
      </c>
      <c r="M82">
        <v>32</v>
      </c>
      <c r="N82">
        <v>0</v>
      </c>
      <c r="O82">
        <v>2</v>
      </c>
      <c r="P82">
        <v>1</v>
      </c>
      <c r="Q82">
        <v>0</v>
      </c>
      <c r="R82">
        <v>0</v>
      </c>
      <c r="S82">
        <v>1</v>
      </c>
      <c r="T82">
        <v>0</v>
      </c>
      <c r="U82">
        <v>0</v>
      </c>
      <c r="V82">
        <v>0</v>
      </c>
      <c r="W82">
        <v>1</v>
      </c>
      <c r="X82">
        <v>0</v>
      </c>
      <c r="AB82" s="1">
        <f t="shared" si="2"/>
        <v>37</v>
      </c>
      <c r="AC82">
        <v>46</v>
      </c>
      <c r="AD82">
        <v>2</v>
      </c>
      <c r="AE82">
        <v>0</v>
      </c>
    </row>
    <row r="83" spans="1:31" x14ac:dyDescent="0.2">
      <c r="A83">
        <v>82</v>
      </c>
      <c r="B83">
        <v>2</v>
      </c>
      <c r="C83" t="s">
        <v>26</v>
      </c>
      <c r="D83" t="s">
        <v>44</v>
      </c>
      <c r="E83" t="s">
        <v>38</v>
      </c>
      <c r="F83" s="2">
        <v>0.62361111111111112</v>
      </c>
      <c r="G83" t="s">
        <v>30</v>
      </c>
      <c r="H83" t="s">
        <v>34</v>
      </c>
      <c r="I83" s="1" t="s">
        <v>39</v>
      </c>
      <c r="J83" s="3">
        <f>37-Table1[[#This Row],[OOS]]</f>
        <v>37</v>
      </c>
      <c r="K83">
        <v>0</v>
      </c>
      <c r="L83">
        <v>0</v>
      </c>
      <c r="M83">
        <v>26</v>
      </c>
      <c r="N83">
        <v>0</v>
      </c>
      <c r="O83">
        <v>6</v>
      </c>
      <c r="P83">
        <v>0</v>
      </c>
      <c r="Q83">
        <v>2</v>
      </c>
      <c r="R83">
        <v>0</v>
      </c>
      <c r="S83">
        <v>0</v>
      </c>
      <c r="T83">
        <v>0</v>
      </c>
      <c r="U83">
        <v>0</v>
      </c>
      <c r="V83">
        <v>0</v>
      </c>
      <c r="W83">
        <v>3</v>
      </c>
      <c r="X83">
        <v>0</v>
      </c>
      <c r="AB83" s="1">
        <f t="shared" si="2"/>
        <v>37</v>
      </c>
      <c r="AC83">
        <v>30</v>
      </c>
      <c r="AD83">
        <v>7</v>
      </c>
      <c r="AE83">
        <v>0</v>
      </c>
    </row>
    <row r="84" spans="1:31" x14ac:dyDescent="0.2">
      <c r="A84">
        <v>83</v>
      </c>
      <c r="B84">
        <v>2</v>
      </c>
      <c r="C84" t="s">
        <v>26</v>
      </c>
      <c r="D84" t="s">
        <v>44</v>
      </c>
      <c r="E84" t="s">
        <v>38</v>
      </c>
      <c r="F84" s="2">
        <v>0.62708333333333333</v>
      </c>
      <c r="G84" t="s">
        <v>33</v>
      </c>
      <c r="H84" t="s">
        <v>31</v>
      </c>
      <c r="I84" s="1" t="s">
        <v>32</v>
      </c>
      <c r="J84" s="3">
        <f>37-Table1[[#This Row],[OOS]]</f>
        <v>37</v>
      </c>
      <c r="K84">
        <v>34</v>
      </c>
      <c r="L84">
        <v>0</v>
      </c>
      <c r="M84">
        <v>0</v>
      </c>
      <c r="N84">
        <v>0</v>
      </c>
      <c r="O84">
        <v>0</v>
      </c>
      <c r="P84">
        <v>2</v>
      </c>
      <c r="Q84">
        <v>0</v>
      </c>
      <c r="R84">
        <v>0</v>
      </c>
      <c r="S84">
        <v>0</v>
      </c>
      <c r="T84">
        <v>0</v>
      </c>
      <c r="U84">
        <v>0</v>
      </c>
      <c r="V84">
        <v>0</v>
      </c>
      <c r="W84">
        <v>0</v>
      </c>
      <c r="X84">
        <v>1</v>
      </c>
      <c r="AB84" s="1">
        <f t="shared" si="2"/>
        <v>37</v>
      </c>
      <c r="AC84">
        <v>25</v>
      </c>
      <c r="AD84">
        <v>0</v>
      </c>
      <c r="AE84">
        <v>0</v>
      </c>
    </row>
    <row r="85" spans="1:31" x14ac:dyDescent="0.2">
      <c r="A85">
        <v>84</v>
      </c>
      <c r="B85">
        <v>2</v>
      </c>
      <c r="C85" t="s">
        <v>26</v>
      </c>
      <c r="D85" t="s">
        <v>44</v>
      </c>
      <c r="E85" t="s">
        <v>38</v>
      </c>
      <c r="F85" s="2">
        <v>0.62986111111111109</v>
      </c>
      <c r="G85" t="s">
        <v>30</v>
      </c>
      <c r="H85" t="s">
        <v>31</v>
      </c>
      <c r="I85" s="1" t="s">
        <v>32</v>
      </c>
      <c r="J85" s="3">
        <f>37-Table1[[#This Row],[OOS]]</f>
        <v>37</v>
      </c>
      <c r="K85">
        <v>36</v>
      </c>
      <c r="L85">
        <v>0</v>
      </c>
      <c r="M85">
        <v>0</v>
      </c>
      <c r="N85">
        <v>0</v>
      </c>
      <c r="O85">
        <v>0</v>
      </c>
      <c r="P85">
        <v>1</v>
      </c>
      <c r="Q85">
        <v>0</v>
      </c>
      <c r="R85">
        <v>0</v>
      </c>
      <c r="S85">
        <v>0</v>
      </c>
      <c r="T85">
        <v>0</v>
      </c>
      <c r="U85">
        <v>0</v>
      </c>
      <c r="V85">
        <v>0</v>
      </c>
      <c r="W85">
        <v>0</v>
      </c>
      <c r="X85">
        <v>0</v>
      </c>
      <c r="AB85" s="1">
        <f t="shared" si="2"/>
        <v>37</v>
      </c>
      <c r="AC85">
        <v>29</v>
      </c>
      <c r="AD85">
        <v>7</v>
      </c>
      <c r="AE85">
        <v>0</v>
      </c>
    </row>
    <row r="86" spans="1:31" x14ac:dyDescent="0.2">
      <c r="A86">
        <v>85</v>
      </c>
      <c r="B86">
        <v>2</v>
      </c>
      <c r="C86" t="s">
        <v>22</v>
      </c>
      <c r="D86" t="s">
        <v>44</v>
      </c>
      <c r="E86" t="s">
        <v>38</v>
      </c>
      <c r="F86" s="2">
        <v>0.64652777777777781</v>
      </c>
      <c r="G86" t="s">
        <v>33</v>
      </c>
      <c r="H86" t="s">
        <v>31</v>
      </c>
      <c r="I86" s="1" t="s">
        <v>32</v>
      </c>
      <c r="J86" s="3">
        <f>37-Table1[[#This Row],[OOS]]</f>
        <v>37</v>
      </c>
      <c r="K86">
        <v>34</v>
      </c>
      <c r="L86">
        <v>0</v>
      </c>
      <c r="M86">
        <v>0</v>
      </c>
      <c r="N86">
        <v>0</v>
      </c>
      <c r="O86">
        <v>0</v>
      </c>
      <c r="P86">
        <v>3</v>
      </c>
      <c r="Q86">
        <v>0</v>
      </c>
      <c r="R86">
        <v>0</v>
      </c>
      <c r="S86">
        <v>0</v>
      </c>
      <c r="T86">
        <v>0</v>
      </c>
      <c r="U86">
        <v>0</v>
      </c>
      <c r="V86">
        <v>0</v>
      </c>
      <c r="W86">
        <v>0</v>
      </c>
      <c r="X86">
        <v>0</v>
      </c>
      <c r="AB86" s="1">
        <f t="shared" si="2"/>
        <v>37</v>
      </c>
      <c r="AC86">
        <v>37</v>
      </c>
      <c r="AD86">
        <v>0</v>
      </c>
      <c r="AE86">
        <v>0</v>
      </c>
    </row>
    <row r="87" spans="1:31" x14ac:dyDescent="0.2">
      <c r="A87">
        <v>86</v>
      </c>
      <c r="B87">
        <v>2</v>
      </c>
      <c r="C87" t="s">
        <v>22</v>
      </c>
      <c r="D87" t="s">
        <v>44</v>
      </c>
      <c r="E87" t="s">
        <v>38</v>
      </c>
      <c r="F87" s="2">
        <v>0.64930555555555558</v>
      </c>
      <c r="G87" t="s">
        <v>30</v>
      </c>
      <c r="H87" t="s">
        <v>31</v>
      </c>
      <c r="I87" s="1" t="s">
        <v>32</v>
      </c>
      <c r="J87" s="3">
        <f>37-Table1[[#This Row],[OOS]]</f>
        <v>37</v>
      </c>
      <c r="K87">
        <v>11</v>
      </c>
      <c r="L87">
        <v>0</v>
      </c>
      <c r="M87">
        <v>0</v>
      </c>
      <c r="N87">
        <v>0</v>
      </c>
      <c r="O87">
        <v>1</v>
      </c>
      <c r="P87">
        <v>5</v>
      </c>
      <c r="Q87">
        <v>0</v>
      </c>
      <c r="R87">
        <v>0</v>
      </c>
      <c r="S87">
        <v>0</v>
      </c>
      <c r="T87">
        <v>18</v>
      </c>
      <c r="U87">
        <v>0</v>
      </c>
      <c r="V87">
        <v>0</v>
      </c>
      <c r="W87">
        <v>0</v>
      </c>
      <c r="X87">
        <v>0</v>
      </c>
      <c r="Z87">
        <v>2</v>
      </c>
      <c r="AB87" s="1">
        <f t="shared" si="2"/>
        <v>37</v>
      </c>
      <c r="AC87">
        <v>7</v>
      </c>
      <c r="AD87">
        <v>0</v>
      </c>
      <c r="AE87">
        <v>0</v>
      </c>
    </row>
    <row r="88" spans="1:31" x14ac:dyDescent="0.2">
      <c r="A88">
        <v>87</v>
      </c>
      <c r="B88">
        <v>2</v>
      </c>
      <c r="C88" t="s">
        <v>22</v>
      </c>
      <c r="D88" t="s">
        <v>44</v>
      </c>
      <c r="E88" t="s">
        <v>38</v>
      </c>
      <c r="F88" s="2">
        <v>0.65277777777777779</v>
      </c>
      <c r="G88" t="s">
        <v>33</v>
      </c>
      <c r="H88" t="s">
        <v>34</v>
      </c>
      <c r="I88" s="1" t="s">
        <v>39</v>
      </c>
      <c r="J88" s="3">
        <f>37-Table1[[#This Row],[OOS]]</f>
        <v>37</v>
      </c>
      <c r="K88">
        <v>0</v>
      </c>
      <c r="L88">
        <v>0</v>
      </c>
      <c r="M88">
        <v>32</v>
      </c>
      <c r="N88">
        <v>0</v>
      </c>
      <c r="O88">
        <v>5</v>
      </c>
      <c r="P88">
        <v>0</v>
      </c>
      <c r="Q88">
        <v>0</v>
      </c>
      <c r="R88">
        <v>0</v>
      </c>
      <c r="S88">
        <v>0</v>
      </c>
      <c r="T88">
        <v>0</v>
      </c>
      <c r="U88">
        <v>0</v>
      </c>
      <c r="V88">
        <v>0</v>
      </c>
      <c r="W88">
        <v>0</v>
      </c>
      <c r="X88">
        <v>0</v>
      </c>
      <c r="AB88" s="1">
        <f t="shared" si="2"/>
        <v>37</v>
      </c>
      <c r="AC88">
        <v>45</v>
      </c>
      <c r="AD88">
        <v>5</v>
      </c>
      <c r="AE88">
        <v>0</v>
      </c>
    </row>
    <row r="89" spans="1:31" x14ac:dyDescent="0.2">
      <c r="A89">
        <v>88</v>
      </c>
      <c r="B89">
        <v>2</v>
      </c>
      <c r="C89" t="s">
        <v>22</v>
      </c>
      <c r="D89" t="s">
        <v>44</v>
      </c>
      <c r="E89" t="s">
        <v>38</v>
      </c>
      <c r="F89" s="2">
        <v>0.65833333333333333</v>
      </c>
      <c r="G89" t="s">
        <v>30</v>
      </c>
      <c r="H89" t="s">
        <v>34</v>
      </c>
      <c r="I89" s="1" t="s">
        <v>39</v>
      </c>
      <c r="J89" s="3">
        <f>37-Table1[[#This Row],[OOS]]</f>
        <v>36</v>
      </c>
      <c r="K89">
        <v>0</v>
      </c>
      <c r="L89">
        <v>0</v>
      </c>
      <c r="M89">
        <v>30</v>
      </c>
      <c r="N89">
        <v>0</v>
      </c>
      <c r="O89">
        <v>2</v>
      </c>
      <c r="P89">
        <v>0</v>
      </c>
      <c r="Q89">
        <v>0</v>
      </c>
      <c r="R89">
        <v>0</v>
      </c>
      <c r="S89">
        <v>1</v>
      </c>
      <c r="T89">
        <v>4</v>
      </c>
      <c r="U89">
        <v>0</v>
      </c>
      <c r="V89">
        <v>0</v>
      </c>
      <c r="W89">
        <v>0</v>
      </c>
      <c r="X89">
        <v>0</v>
      </c>
      <c r="AB89" s="1">
        <f t="shared" si="2"/>
        <v>37</v>
      </c>
      <c r="AC89">
        <v>31</v>
      </c>
      <c r="AD89">
        <v>2</v>
      </c>
      <c r="AE89">
        <v>0</v>
      </c>
    </row>
    <row r="90" spans="1:31" x14ac:dyDescent="0.2">
      <c r="A90">
        <v>89</v>
      </c>
      <c r="B90">
        <v>2</v>
      </c>
      <c r="C90" t="s">
        <v>22</v>
      </c>
      <c r="D90" t="s">
        <v>44</v>
      </c>
      <c r="E90" t="s">
        <v>37</v>
      </c>
      <c r="F90" s="2">
        <v>0.66249999999999998</v>
      </c>
      <c r="G90" t="s">
        <v>30</v>
      </c>
      <c r="H90" t="s">
        <v>31</v>
      </c>
      <c r="I90" s="1" t="s">
        <v>32</v>
      </c>
      <c r="J90" s="3">
        <f>37-Table1[[#This Row],[OOS]]</f>
        <v>37</v>
      </c>
      <c r="K90">
        <v>35</v>
      </c>
      <c r="L90">
        <v>0</v>
      </c>
      <c r="M90">
        <v>0</v>
      </c>
      <c r="N90">
        <v>0</v>
      </c>
      <c r="O90">
        <v>0</v>
      </c>
      <c r="P90">
        <v>1</v>
      </c>
      <c r="Q90">
        <v>1</v>
      </c>
      <c r="R90">
        <v>0</v>
      </c>
      <c r="S90">
        <v>0</v>
      </c>
      <c r="T90">
        <v>0</v>
      </c>
      <c r="U90">
        <v>0</v>
      </c>
      <c r="V90">
        <v>0</v>
      </c>
      <c r="W90">
        <v>0</v>
      </c>
      <c r="X90">
        <v>0</v>
      </c>
      <c r="AB90" s="1">
        <f t="shared" si="2"/>
        <v>37</v>
      </c>
      <c r="AC90">
        <v>22</v>
      </c>
      <c r="AD90">
        <v>0</v>
      </c>
      <c r="AE90">
        <v>0</v>
      </c>
    </row>
    <row r="91" spans="1:31" x14ac:dyDescent="0.2">
      <c r="A91">
        <v>90</v>
      </c>
      <c r="B91">
        <v>2</v>
      </c>
      <c r="C91" t="s">
        <v>22</v>
      </c>
      <c r="D91" t="s">
        <v>44</v>
      </c>
      <c r="E91" t="s">
        <v>37</v>
      </c>
      <c r="F91" s="2">
        <v>0.66597222222222219</v>
      </c>
      <c r="G91" t="s">
        <v>33</v>
      </c>
      <c r="H91" t="s">
        <v>34</v>
      </c>
      <c r="I91" s="1" t="s">
        <v>32</v>
      </c>
      <c r="J91" s="3">
        <f>37-Table1[[#This Row],[OOS]]</f>
        <v>37</v>
      </c>
      <c r="K91">
        <v>0</v>
      </c>
      <c r="L91">
        <v>0</v>
      </c>
      <c r="M91">
        <v>34</v>
      </c>
      <c r="N91">
        <v>1</v>
      </c>
      <c r="O91">
        <v>1</v>
      </c>
      <c r="P91">
        <v>0</v>
      </c>
      <c r="Q91">
        <v>1</v>
      </c>
      <c r="R91">
        <v>0</v>
      </c>
      <c r="S91">
        <v>0</v>
      </c>
      <c r="T91">
        <v>0</v>
      </c>
      <c r="U91">
        <v>0</v>
      </c>
      <c r="V91">
        <v>0</v>
      </c>
      <c r="W91">
        <v>0</v>
      </c>
      <c r="X91">
        <v>0</v>
      </c>
      <c r="AB91" s="1">
        <f t="shared" si="2"/>
        <v>37</v>
      </c>
      <c r="AC91">
        <v>43</v>
      </c>
      <c r="AD91">
        <v>2</v>
      </c>
      <c r="AE91">
        <v>0</v>
      </c>
    </row>
    <row r="92" spans="1:31" x14ac:dyDescent="0.2">
      <c r="A92">
        <v>91</v>
      </c>
      <c r="B92">
        <v>2</v>
      </c>
      <c r="C92" t="s">
        <v>22</v>
      </c>
      <c r="D92" t="s">
        <v>44</v>
      </c>
      <c r="E92" t="s">
        <v>37</v>
      </c>
      <c r="F92" s="2">
        <v>0.67013888888888884</v>
      </c>
      <c r="G92" t="s">
        <v>33</v>
      </c>
      <c r="H92" t="s">
        <v>34</v>
      </c>
      <c r="I92" s="1" t="s">
        <v>39</v>
      </c>
      <c r="J92" s="3">
        <f>37-Table1[[#This Row],[OOS]]</f>
        <v>37</v>
      </c>
      <c r="K92">
        <v>0</v>
      </c>
      <c r="L92">
        <v>0</v>
      </c>
      <c r="M92">
        <v>30</v>
      </c>
      <c r="N92">
        <v>4</v>
      </c>
      <c r="O92">
        <v>3</v>
      </c>
      <c r="P92">
        <v>0</v>
      </c>
      <c r="Q92">
        <v>0</v>
      </c>
      <c r="R92">
        <v>0</v>
      </c>
      <c r="S92">
        <v>0</v>
      </c>
      <c r="T92">
        <v>0</v>
      </c>
      <c r="U92">
        <v>0</v>
      </c>
      <c r="V92">
        <v>0</v>
      </c>
      <c r="W92">
        <v>0</v>
      </c>
      <c r="X92">
        <v>0</v>
      </c>
      <c r="AB92" s="1">
        <f t="shared" si="2"/>
        <v>37</v>
      </c>
      <c r="AC92">
        <v>42</v>
      </c>
      <c r="AD92">
        <v>2</v>
      </c>
      <c r="AE92">
        <v>0</v>
      </c>
    </row>
    <row r="93" spans="1:31" x14ac:dyDescent="0.2">
      <c r="A93">
        <v>92</v>
      </c>
      <c r="B93">
        <v>2</v>
      </c>
      <c r="C93" t="s">
        <v>22</v>
      </c>
      <c r="D93" t="s">
        <v>44</v>
      </c>
      <c r="E93" t="s">
        <v>37</v>
      </c>
      <c r="F93" s="2">
        <v>0.67291666666666672</v>
      </c>
      <c r="G93" t="s">
        <v>30</v>
      </c>
      <c r="H93" t="s">
        <v>34</v>
      </c>
      <c r="I93" s="1" t="s">
        <v>39</v>
      </c>
      <c r="J93" s="3">
        <f>37-Table1[[#This Row],[OOS]]</f>
        <v>34</v>
      </c>
      <c r="K93">
        <v>0</v>
      </c>
      <c r="L93">
        <v>0</v>
      </c>
      <c r="M93">
        <v>4</v>
      </c>
      <c r="N93">
        <v>25</v>
      </c>
      <c r="O93">
        <v>1</v>
      </c>
      <c r="P93">
        <v>0</v>
      </c>
      <c r="Q93">
        <v>4</v>
      </c>
      <c r="R93">
        <v>0</v>
      </c>
      <c r="S93">
        <v>3</v>
      </c>
      <c r="T93">
        <v>0</v>
      </c>
      <c r="U93">
        <v>0</v>
      </c>
      <c r="V93">
        <v>0</v>
      </c>
      <c r="W93">
        <v>0</v>
      </c>
      <c r="X93">
        <v>0</v>
      </c>
      <c r="AB93" s="1">
        <f t="shared" si="2"/>
        <v>37</v>
      </c>
      <c r="AC93">
        <v>35</v>
      </c>
      <c r="AD93">
        <v>3</v>
      </c>
      <c r="AE93">
        <v>0</v>
      </c>
    </row>
    <row r="94" spans="1:31" x14ac:dyDescent="0.2">
      <c r="A94">
        <v>93</v>
      </c>
      <c r="B94">
        <v>2</v>
      </c>
      <c r="C94" t="s">
        <v>22</v>
      </c>
      <c r="D94" t="s">
        <v>44</v>
      </c>
      <c r="E94" t="s">
        <v>36</v>
      </c>
      <c r="F94" s="2">
        <v>0.67569444444444449</v>
      </c>
      <c r="G94" t="s">
        <v>33</v>
      </c>
      <c r="H94" t="s">
        <v>31</v>
      </c>
      <c r="I94" s="1" t="s">
        <v>32</v>
      </c>
      <c r="J94" s="3">
        <f>37-Table1[[#This Row],[OOS]]</f>
        <v>37</v>
      </c>
      <c r="K94">
        <v>31</v>
      </c>
      <c r="L94">
        <v>0</v>
      </c>
      <c r="M94">
        <v>0</v>
      </c>
      <c r="N94">
        <v>0</v>
      </c>
      <c r="O94">
        <v>0</v>
      </c>
      <c r="P94">
        <v>1</v>
      </c>
      <c r="Q94">
        <v>0</v>
      </c>
      <c r="R94">
        <v>0</v>
      </c>
      <c r="S94">
        <v>0</v>
      </c>
      <c r="T94">
        <v>0</v>
      </c>
      <c r="U94">
        <v>0</v>
      </c>
      <c r="V94">
        <v>0</v>
      </c>
      <c r="W94">
        <v>0</v>
      </c>
      <c r="X94">
        <v>4</v>
      </c>
      <c r="AA94">
        <v>1</v>
      </c>
      <c r="AB94" s="1">
        <f t="shared" si="2"/>
        <v>37</v>
      </c>
      <c r="AC94">
        <v>25</v>
      </c>
      <c r="AD94">
        <v>5</v>
      </c>
      <c r="AE94">
        <v>0</v>
      </c>
    </row>
    <row r="95" spans="1:31" x14ac:dyDescent="0.2">
      <c r="A95">
        <v>94</v>
      </c>
      <c r="B95">
        <v>2</v>
      </c>
      <c r="C95" t="s">
        <v>22</v>
      </c>
      <c r="D95" t="s">
        <v>44</v>
      </c>
      <c r="E95" t="s">
        <v>36</v>
      </c>
      <c r="F95" s="2">
        <v>0.67847222222222225</v>
      </c>
      <c r="G95" t="s">
        <v>30</v>
      </c>
      <c r="H95" t="s">
        <v>31</v>
      </c>
      <c r="I95" s="1" t="s">
        <v>32</v>
      </c>
      <c r="J95" s="3">
        <f>37-Table1[[#This Row],[OOS]]</f>
        <v>37</v>
      </c>
      <c r="K95">
        <v>34</v>
      </c>
      <c r="L95">
        <v>0</v>
      </c>
      <c r="M95">
        <v>0</v>
      </c>
      <c r="N95">
        <v>0</v>
      </c>
      <c r="O95">
        <v>0</v>
      </c>
      <c r="P95">
        <v>3</v>
      </c>
      <c r="Q95">
        <v>0</v>
      </c>
      <c r="R95">
        <v>0</v>
      </c>
      <c r="S95">
        <v>0</v>
      </c>
      <c r="T95">
        <v>0</v>
      </c>
      <c r="U95">
        <v>0</v>
      </c>
      <c r="V95">
        <v>0</v>
      </c>
      <c r="W95">
        <v>0</v>
      </c>
      <c r="X95">
        <v>0</v>
      </c>
      <c r="AB95" s="1">
        <f t="shared" si="2"/>
        <v>37</v>
      </c>
      <c r="AC95">
        <v>16</v>
      </c>
      <c r="AD95">
        <v>3</v>
      </c>
      <c r="AE95">
        <v>0</v>
      </c>
    </row>
    <row r="96" spans="1:31" x14ac:dyDescent="0.2">
      <c r="A96">
        <v>95</v>
      </c>
      <c r="B96">
        <v>2</v>
      </c>
      <c r="C96" t="s">
        <v>22</v>
      </c>
      <c r="D96" t="s">
        <v>44</v>
      </c>
      <c r="E96" t="s">
        <v>36</v>
      </c>
      <c r="F96" s="2">
        <v>0.68611111111111112</v>
      </c>
      <c r="G96" t="s">
        <v>30</v>
      </c>
      <c r="H96" t="s">
        <v>34</v>
      </c>
      <c r="I96" s="1" t="s">
        <v>39</v>
      </c>
      <c r="J96" s="3">
        <f>37-Table1[[#This Row],[OOS]]</f>
        <v>37</v>
      </c>
      <c r="K96">
        <v>0</v>
      </c>
      <c r="L96">
        <v>0</v>
      </c>
      <c r="M96">
        <v>34</v>
      </c>
      <c r="N96">
        <v>0</v>
      </c>
      <c r="O96">
        <v>0</v>
      </c>
      <c r="P96">
        <v>2</v>
      </c>
      <c r="Q96">
        <v>1</v>
      </c>
      <c r="R96">
        <v>0</v>
      </c>
      <c r="S96">
        <v>0</v>
      </c>
      <c r="T96">
        <v>0</v>
      </c>
      <c r="U96">
        <v>0</v>
      </c>
      <c r="V96">
        <v>0</v>
      </c>
      <c r="W96">
        <v>0</v>
      </c>
      <c r="X96">
        <v>0</v>
      </c>
      <c r="AB96" s="1">
        <f t="shared" si="2"/>
        <v>37</v>
      </c>
      <c r="AC96">
        <v>20</v>
      </c>
      <c r="AD96">
        <v>0</v>
      </c>
      <c r="AE96">
        <v>0</v>
      </c>
    </row>
    <row r="97" spans="1:32" x14ac:dyDescent="0.2">
      <c r="A97">
        <v>96</v>
      </c>
      <c r="B97">
        <v>2</v>
      </c>
      <c r="C97" t="s">
        <v>22</v>
      </c>
      <c r="D97" t="s">
        <v>44</v>
      </c>
      <c r="E97" t="s">
        <v>36</v>
      </c>
      <c r="F97" s="2">
        <v>0.68888888888888888</v>
      </c>
      <c r="G97" t="s">
        <v>33</v>
      </c>
      <c r="H97" t="s">
        <v>34</v>
      </c>
      <c r="I97" s="1" t="s">
        <v>39</v>
      </c>
      <c r="J97" s="3">
        <f>37-Table1[[#This Row],[OOS]]</f>
        <v>37</v>
      </c>
      <c r="K97">
        <v>0</v>
      </c>
      <c r="L97">
        <v>0</v>
      </c>
      <c r="M97">
        <v>20</v>
      </c>
      <c r="N97">
        <v>3</v>
      </c>
      <c r="O97">
        <v>0</v>
      </c>
      <c r="P97">
        <v>0</v>
      </c>
      <c r="Q97">
        <v>14</v>
      </c>
      <c r="R97">
        <v>0</v>
      </c>
      <c r="S97">
        <v>0</v>
      </c>
      <c r="T97">
        <v>0</v>
      </c>
      <c r="U97">
        <v>0</v>
      </c>
      <c r="V97">
        <v>0</v>
      </c>
      <c r="W97">
        <v>0</v>
      </c>
      <c r="X97">
        <v>0</v>
      </c>
      <c r="AB97" s="1">
        <f t="shared" si="2"/>
        <v>37</v>
      </c>
      <c r="AC97">
        <v>9</v>
      </c>
      <c r="AD97">
        <v>3</v>
      </c>
      <c r="AE97">
        <v>0</v>
      </c>
      <c r="AF97" t="s">
        <v>41</v>
      </c>
    </row>
  </sheetData>
  <phoneticPr fontId="1"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5A029C2E-7885-4854-BFB8-7C28461621DE}">
          <x14:formula1>
            <xm:f>'Focal data conditions'!$A$3:$A$5</xm:f>
          </x14:formula1>
          <xm:sqref>E2:E97</xm:sqref>
        </x14:dataValidation>
        <x14:dataValidation type="list" allowBlank="1" showInputMessage="1" showErrorMessage="1" xr:uid="{85CD537B-CCE7-4E16-B29C-7054E32DA977}">
          <x14:formula1>
            <xm:f>'Focal data conditions'!$B$3:$B$4</xm:f>
          </x14:formula1>
          <xm:sqref>G2:G97</xm:sqref>
        </x14:dataValidation>
        <x14:dataValidation type="list" allowBlank="1" showInputMessage="1" showErrorMessage="1" xr:uid="{12BC5F8C-5A3D-45DC-ABA0-EB1D4E19F3B6}">
          <x14:formula1>
            <xm:f>'Focal data conditions'!$C$3:$C$4</xm:f>
          </x14:formula1>
          <xm:sqref>H2:H97</xm:sqref>
        </x14:dataValidation>
        <x14:dataValidation type="list" allowBlank="1" showInputMessage="1" showErrorMessage="1" xr:uid="{C0406F40-60F6-44B0-B494-6174276969E4}">
          <x14:formula1>
            <xm:f>'Focal data conditions'!$D$3:$D$4</xm:f>
          </x14:formula1>
          <xm:sqref>I2:I97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BD69A-1E9A-41CE-A8A8-D3ECADCF1E8D}">
  <dimension ref="A2:D5"/>
  <sheetViews>
    <sheetView tabSelected="1" workbookViewId="0">
      <selection activeCell="B5" sqref="B5"/>
    </sheetView>
  </sheetViews>
  <sheetFormatPr baseColWidth="10" defaultColWidth="8.83203125" defaultRowHeight="15" x14ac:dyDescent="0.2"/>
  <cols>
    <col min="4" max="4" width="13.1640625" bestFit="1" customWidth="1"/>
  </cols>
  <sheetData>
    <row r="2" spans="1:4" x14ac:dyDescent="0.2">
      <c r="A2" t="s">
        <v>35</v>
      </c>
      <c r="B2" t="s">
        <v>5</v>
      </c>
      <c r="C2" t="s">
        <v>6</v>
      </c>
      <c r="D2" s="1" t="s">
        <v>7</v>
      </c>
    </row>
    <row r="3" spans="1:4" x14ac:dyDescent="0.2">
      <c r="A3" t="s">
        <v>36</v>
      </c>
      <c r="B3" t="s">
        <v>30</v>
      </c>
      <c r="C3" t="s">
        <v>31</v>
      </c>
      <c r="D3" t="s">
        <v>32</v>
      </c>
    </row>
    <row r="4" spans="1:4" x14ac:dyDescent="0.2">
      <c r="A4" t="s">
        <v>37</v>
      </c>
      <c r="B4" t="s">
        <v>33</v>
      </c>
      <c r="C4" t="s">
        <v>34</v>
      </c>
      <c r="D4" t="s">
        <v>39</v>
      </c>
    </row>
    <row r="5" spans="1:4" x14ac:dyDescent="0.2">
      <c r="A5"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READ ME</vt:lpstr>
      <vt:lpstr>Focal Data</vt:lpstr>
      <vt:lpstr>Focal data conditions</vt:lpstr>
      <vt:lpstr>'READ ME'!_Ref180960510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ABIGAIL,LOUISE TONKINSON</dc:creator>
  <cp:lastModifiedBy>Secord, Isabelle L</cp:lastModifiedBy>
  <dcterms:created xsi:type="dcterms:W3CDTF">2024-09-24T13:38:37Z</dcterms:created>
  <dcterms:modified xsi:type="dcterms:W3CDTF">2025-10-30T11:14:36Z</dcterms:modified>
</cp:coreProperties>
</file>